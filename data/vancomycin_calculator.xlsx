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riocardenas/Downloads/"/>
    </mc:Choice>
  </mc:AlternateContent>
  <xr:revisionPtr revIDLastSave="0" documentId="8_{025A457F-9D35-9B47-AC0C-333F95A39CD5}" xr6:coauthVersionLast="47" xr6:coauthVersionMax="47" xr10:uidLastSave="{00000000-0000-0000-0000-000000000000}"/>
  <bookViews>
    <workbookView xWindow="0" yWindow="760" windowWidth="30240" windowHeight="17520" tabRatio="854" xr2:uid="{A712065C-4E4C-594C-BF75-3528406486B4}"/>
  </bookViews>
  <sheets>
    <sheet name="Patient_Info" sheetId="7" r:id="rId1"/>
    <sheet name="Vanco_InitialDose" sheetId="8" r:id="rId2"/>
    <sheet name="Vanco_DoseRevisionTrough" sheetId="9" r:id="rId3"/>
    <sheet name="Vanco_DoseRevisionTwoLevels" sheetId="10" r:id="rId4"/>
    <sheet name="Calculation_Details" sheetId="1" r:id="rId5"/>
    <sheet name="Pick" sheetId="6" state="hidden" r:id="rId6"/>
    <sheet name="Sheet2" sheetId="2" state="hidden" r:id="rId7"/>
    <sheet name="Sheet3" sheetId="3" state="hidden" r:id="rId8"/>
    <sheet name="Lkup" sheetId="14" state="hidden" r:id="rId9"/>
  </sheets>
  <definedNames>
    <definedName name="YESNO">Lkup!$A$1:$A$2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A3" i="1"/>
  <c r="C3" i="1"/>
  <c r="E6" i="1"/>
  <c r="A6" i="1"/>
  <c r="D3" i="1"/>
  <c r="C10" i="1"/>
  <c r="F7" i="7"/>
  <c r="B3" i="1"/>
  <c r="A20" i="1"/>
  <c r="B33" i="1"/>
  <c r="C33" i="1"/>
  <c r="A33" i="1"/>
  <c r="A36" i="1"/>
  <c r="B39" i="1"/>
  <c r="D39" i="1"/>
  <c r="B42" i="1"/>
  <c r="D42" i="1"/>
  <c r="B21" i="9"/>
  <c r="B36" i="1"/>
  <c r="B25" i="9"/>
  <c r="E10" i="1"/>
  <c r="F8" i="7"/>
  <c r="E49" i="1"/>
  <c r="C49" i="1"/>
  <c r="A49" i="1"/>
  <c r="A52" i="1"/>
  <c r="B49" i="1"/>
  <c r="F49" i="1"/>
  <c r="D49" i="1"/>
  <c r="G49" i="1"/>
  <c r="B26" i="1"/>
  <c r="E26" i="1"/>
  <c r="D52" i="1"/>
  <c r="D61" i="1"/>
  <c r="D45" i="1"/>
  <c r="D29" i="1"/>
  <c r="B15" i="8"/>
  <c r="B52" i="1"/>
  <c r="B27" i="10"/>
  <c r="E55" i="1"/>
  <c r="F55" i="1"/>
  <c r="B55" i="1"/>
  <c r="D55" i="1"/>
  <c r="B58" i="1"/>
  <c r="C58" i="1"/>
  <c r="B24" i="10"/>
  <c r="D58" i="1"/>
  <c r="B23" i="10"/>
  <c r="C52" i="1"/>
  <c r="A61" i="1"/>
  <c r="B61" i="1"/>
  <c r="B22" i="10"/>
  <c r="A58" i="1"/>
  <c r="B19" i="10"/>
  <c r="A55" i="1"/>
  <c r="B16" i="10"/>
  <c r="E39" i="1"/>
  <c r="F39" i="1"/>
  <c r="C42" i="1"/>
  <c r="B22" i="9"/>
  <c r="C36" i="1"/>
  <c r="A45" i="1"/>
  <c r="B45" i="1"/>
  <c r="B20" i="9"/>
  <c r="A42" i="1"/>
  <c r="B17" i="9"/>
  <c r="A39" i="1"/>
  <c r="B14" i="9"/>
  <c r="B23" i="1"/>
  <c r="A17" i="1"/>
  <c r="B6" i="1"/>
  <c r="B10" i="1"/>
  <c r="B12" i="1"/>
  <c r="B14" i="1"/>
  <c r="A10" i="1"/>
  <c r="A12" i="1"/>
  <c r="A14" i="1"/>
  <c r="C12" i="1"/>
  <c r="C14" i="1"/>
  <c r="E12" i="1"/>
  <c r="E14" i="1"/>
  <c r="D10" i="1"/>
  <c r="D12" i="1"/>
  <c r="D14" i="1"/>
  <c r="B20" i="1"/>
  <c r="C20" i="1"/>
  <c r="D20" i="1"/>
  <c r="B18" i="8"/>
  <c r="E23" i="1"/>
  <c r="F23" i="1"/>
  <c r="D23" i="1"/>
  <c r="C26" i="1"/>
  <c r="B13" i="8"/>
  <c r="D26" i="1"/>
  <c r="B12" i="8"/>
  <c r="A29" i="1"/>
  <c r="B29" i="1"/>
  <c r="B11" i="8"/>
  <c r="A26" i="1"/>
  <c r="B8" i="8"/>
  <c r="A23" i="1"/>
  <c r="B5" i="8"/>
  <c r="B22" i="7"/>
  <c r="B21" i="7"/>
  <c r="B20" i="7"/>
  <c r="B19" i="7"/>
  <c r="C6" i="1"/>
  <c r="B15" i="7"/>
  <c r="D6" i="1"/>
  <c r="F29" i="1"/>
</calcChain>
</file>

<file path=xl/sharedStrings.xml><?xml version="1.0" encoding="utf-8"?>
<sst xmlns="http://schemas.openxmlformats.org/spreadsheetml/2006/main" count="257" uniqueCount="147">
  <si>
    <t>Age</t>
  </si>
  <si>
    <t>Weight (kg)</t>
  </si>
  <si>
    <t>SCr</t>
  </si>
  <si>
    <t>IBW</t>
  </si>
  <si>
    <t>ABW</t>
  </si>
  <si>
    <t>CrCl (ml/min)</t>
  </si>
  <si>
    <t>CrCl (L/hr)</t>
  </si>
  <si>
    <t>k</t>
  </si>
  <si>
    <t>t1/2</t>
  </si>
  <si>
    <t>Target trough</t>
  </si>
  <si>
    <t>Vanco dose</t>
  </si>
  <si>
    <t>Dose chosen</t>
  </si>
  <si>
    <t>(-kT)</t>
  </si>
  <si>
    <t>tpeak</t>
  </si>
  <si>
    <t>(-ktpeak)</t>
  </si>
  <si>
    <t>TBW/IBW</t>
  </si>
  <si>
    <t>AUC</t>
  </si>
  <si>
    <t>Female</t>
  </si>
  <si>
    <t>TBW</t>
  </si>
  <si>
    <t>Elderly Flag</t>
  </si>
  <si>
    <t>TBW &amp; Round SCr</t>
  </si>
  <si>
    <t>Daily Dose</t>
  </si>
  <si>
    <t>Forced CrCl</t>
  </si>
  <si>
    <t>Select Dosing CrCl: 1 for TBW, 2 for ABW, 3 for IBW, 4 for TBW &amp; Rounded SCr, 5 to force CrCl</t>
  </si>
  <si>
    <t>Suggested T</t>
  </si>
  <si>
    <t>Chosen Tau</t>
  </si>
  <si>
    <t>Target Peak</t>
  </si>
  <si>
    <t>Loading Dose</t>
  </si>
  <si>
    <t xml:space="preserve"> Loading Dose</t>
  </si>
  <si>
    <t>Peak1</t>
  </si>
  <si>
    <t>Gender</t>
  </si>
  <si>
    <t>Patient Age (years)</t>
  </si>
  <si>
    <t>UCSF Adult Vancomycin Dosing Calculator</t>
  </si>
  <si>
    <t>Serum creatinine (mg/L)</t>
  </si>
  <si>
    <t>Input Patient Parameters</t>
  </si>
  <si>
    <t>Assess Patient Clearance</t>
  </si>
  <si>
    <t>Is patient on intermittent HD?</t>
  </si>
  <si>
    <t>Is patient on CRRT?</t>
  </si>
  <si>
    <t>Is patient's renal function stable?</t>
  </si>
  <si>
    <t>Total Body Weight/Ideal Body Weight Ratio</t>
  </si>
  <si>
    <t>Age&gt;65 and SCr&lt;1</t>
  </si>
  <si>
    <t>Select Best Estimator of Creatinine Clearance</t>
  </si>
  <si>
    <t>Estimators of Creatinine Clearance</t>
  </si>
  <si>
    <t>Cockroft-Gault using Total Body Weight (TBW)</t>
  </si>
  <si>
    <t>Cockroft-Gault using Ideal Body Weight (IBW)</t>
  </si>
  <si>
    <t>Input Custom CrCl estimation</t>
  </si>
  <si>
    <t>Select Vancomycin Dosing Regimen</t>
  </si>
  <si>
    <t>Recommended Dosing Interval (hours)</t>
  </si>
  <si>
    <t>Recommended Vancomycin Dose (mg)</t>
  </si>
  <si>
    <t>Chosen Dosing Interval (hours)</t>
  </si>
  <si>
    <t>Chosen Vancomycin Dose (mg)</t>
  </si>
  <si>
    <t>Predicted Vancomycin AUC24</t>
  </si>
  <si>
    <t xml:space="preserve">Select 250,500,750,1000,1250,1500,2000mg </t>
  </si>
  <si>
    <t>Target AUC24 is &gt;350</t>
  </si>
  <si>
    <t>Acceptable vancomycin troughs should be &lt;21 to reduce nephrotoxicity</t>
  </si>
  <si>
    <t>Select 6,8,12,24 hours</t>
  </si>
  <si>
    <t>Method 5</t>
  </si>
  <si>
    <t>Enter lbs to convert to kg</t>
  </si>
  <si>
    <t>Conversion</t>
  </si>
  <si>
    <t>Enter</t>
  </si>
  <si>
    <t>Monitoring</t>
  </si>
  <si>
    <t>Vancomycin half-life</t>
  </si>
  <si>
    <t>Steady-state is approximately reached after 4 half-lives of continuous dosing</t>
  </si>
  <si>
    <t>Acceptable vancomycin peaks should be &lt;75 to reduce ototoxicity</t>
  </si>
  <si>
    <t>If dosing interval substantially &lt; half-life, draw level before next dose after 3 half-lives have passed</t>
  </si>
  <si>
    <t>For routine monitoring, draw trough level before the 4th dose if dosing interval ≥ half-life</t>
  </si>
  <si>
    <t>Vanco Initial Dosing</t>
  </si>
  <si>
    <t>Dose Revisions based on Single Steady-state Trough</t>
  </si>
  <si>
    <t>Vancomycin trough serum concentration (mg/L)</t>
  </si>
  <si>
    <t xml:space="preserve">Note: assumes vancomycin volume of distribution is constant; obesity, fluid overload, or burns </t>
  </si>
  <si>
    <t>Interval</t>
  </si>
  <si>
    <t>Trough level</t>
  </si>
  <si>
    <t>Level drawn &lt;= 30 min before end of dosing interval?</t>
  </si>
  <si>
    <t>calc field</t>
  </si>
  <si>
    <t>Select Revised Vancomycin Dosing Regimen</t>
  </si>
  <si>
    <t>Chosen Dosing Interval (Hours)</t>
  </si>
  <si>
    <t>Vanco Dose Revision: Single Trough Level</t>
  </si>
  <si>
    <t>Chosen T</t>
  </si>
  <si>
    <t>Target Trough</t>
  </si>
  <si>
    <t>Predicted peak</t>
  </si>
  <si>
    <t>Predicted trough</t>
  </si>
  <si>
    <t>Clvanc</t>
  </si>
  <si>
    <t>Dose Revisions based on Paired Vancomycin Levels</t>
  </si>
  <si>
    <t>Second vancomycin serum concentration (mg/L)</t>
  </si>
  <si>
    <t>Initial vancomycin serum concentration (mg/L)</t>
  </si>
  <si>
    <t>Vanco Dose Revision: Paired Levels</t>
  </si>
  <si>
    <t>Level 1</t>
  </si>
  <si>
    <t>Level 2</t>
  </si>
  <si>
    <t>Vvanc</t>
  </si>
  <si>
    <t>Infusion Time</t>
  </si>
  <si>
    <t>Cpeak</t>
  </si>
  <si>
    <t>Should be drawn AFTER distribution, at least 1 hour after end of infusion</t>
  </si>
  <si>
    <t>Ctrough</t>
  </si>
  <si>
    <t>Time level drawn BEFORE next dose (hours)</t>
  </si>
  <si>
    <t>Time BETWEEN serum concentrations (hours)</t>
  </si>
  <si>
    <t>Level drawn at steady-state (after &gt;3 half-lives?)</t>
  </si>
  <si>
    <t>If NO, trough will be UNDERestimated and calculations unreliable</t>
  </si>
  <si>
    <t>If NO, trough will be OVERestimated and calculations unreliable</t>
  </si>
  <si>
    <t>If YES, see UCSF dosing card for correct dose</t>
  </si>
  <si>
    <t>IF NO, calculations will be unreliable.  Suggest ad hoc dosing and following vancomycin levels.</t>
  </si>
  <si>
    <t>YES</t>
  </si>
  <si>
    <t>NO</t>
  </si>
  <si>
    <t>MALE</t>
  </si>
  <si>
    <t>FEMALE</t>
  </si>
  <si>
    <t>Patient Parameters</t>
  </si>
  <si>
    <t>Maximum cutoff 150 ml/min</t>
  </si>
  <si>
    <t>Method 1 (CrCl maximum capped at 150 ml/min)</t>
  </si>
  <si>
    <t>Method 2 (CrCl maximum capped at 150 ml/min)</t>
  </si>
  <si>
    <t>Method 3 (CrCl maximum capped at 150 ml/min)</t>
  </si>
  <si>
    <t>Method 4 (CrCl maximum capped at 150 ml/min)</t>
  </si>
  <si>
    <t>Cockroft-Gault using TBW and SCr rounded up to 1</t>
  </si>
  <si>
    <t>To evaluate a vancomycin dosing regimen with a single trough level, click here</t>
  </si>
  <si>
    <t>To evaluate a vancomycin dosing regimen with two postdistributional levels, click here</t>
  </si>
  <si>
    <t xml:space="preserve">To select or evaluate an initial vancomycin dose, click here </t>
  </si>
  <si>
    <t>Patient Information</t>
  </si>
  <si>
    <t>Select or Evaluate Vancomycin Dose</t>
  </si>
  <si>
    <t>Evaluate vancomycin dosing regimen based on single trough</t>
  </si>
  <si>
    <t>Evaluate vancomycin dosing regimen based two levels</t>
  </si>
  <si>
    <t>To return to patient information tab, click here</t>
  </si>
  <si>
    <t>Enter Vancomycin Dosing Regimen</t>
  </si>
  <si>
    <t>Vancomycin Frequency (hours)</t>
  </si>
  <si>
    <t>Vancomycin Dose (mg)</t>
  </si>
  <si>
    <t>Select New Dosing Interval (Hours)</t>
  </si>
  <si>
    <t>Vd_vanc</t>
  </si>
  <si>
    <t>Time first level drawn AFTER end of infusion (hours)</t>
  </si>
  <si>
    <t>Level 1 time post infusion</t>
  </si>
  <si>
    <t>Level 2 time before trough</t>
  </si>
  <si>
    <t>To view calculation details, click here</t>
  </si>
  <si>
    <t>Recommended to be trough concentration, no greater than 30 minutes before next dose</t>
  </si>
  <si>
    <t>Recommended Loading Dose (mg)</t>
  </si>
  <si>
    <t>If loading dose given, draw draw trough level before the 4th dose of the maintenance regimen</t>
  </si>
  <si>
    <t>Predicted Vancomycin Trough (mg/L)</t>
  </si>
  <si>
    <t>Predicted Vancomycin Peak (mg/L)</t>
  </si>
  <si>
    <t>Dose to achieve a steady-state trough of 15 mg/L</t>
  </si>
  <si>
    <t>Loading doses are recommended for patients with severe infections (round to nearest 250mg, cap at 2000mg)</t>
  </si>
  <si>
    <t>Height (cm)</t>
  </si>
  <si>
    <t>Enter inches to convert to cm</t>
  </si>
  <si>
    <t>If TBW/IBW&gt;1.2, consider using  Adjusted (method 2) or Ideal (method 3) Body Weight in CrCl calculation</t>
  </si>
  <si>
    <t>AdjBW</t>
  </si>
  <si>
    <t>Cockroft-Gault using Adjusted Body Weight (AdjBW)</t>
  </si>
  <si>
    <t>To record patient information for follow-up/QI, click here</t>
  </si>
  <si>
    <t>Select 1-5 from Methods Above</t>
  </si>
  <si>
    <r>
      <t xml:space="preserve">Enter information in fields outlined in </t>
    </r>
    <r>
      <rPr>
        <sz val="11"/>
        <color indexed="10"/>
        <rFont val="Arial"/>
        <family val="2"/>
      </rPr>
      <t>red</t>
    </r>
  </si>
  <si>
    <r>
      <t xml:space="preserve">Calculated values in </t>
    </r>
    <r>
      <rPr>
        <sz val="11"/>
        <color indexed="49"/>
        <rFont val="Arial"/>
        <family val="2"/>
      </rPr>
      <t>blue</t>
    </r>
  </si>
  <si>
    <t xml:space="preserve">*Disclaimer* Use of this tool does not replace clinical judgment.  </t>
  </si>
  <si>
    <t>If YES or patient with low muscle mass, consider rounding serum creatinine up to 1 in CrCl calculation (method 4)</t>
  </si>
  <si>
    <t>Height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</si>
</sst>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sz val="11"/>
      <color indexed="49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800000"/>
      </left>
      <right style="thin">
        <color rgb="FF800000"/>
      </right>
      <top style="thin">
        <color rgb="FF800000"/>
      </top>
      <bottom style="thin">
        <color rgb="FF80000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4" fillId="2" borderId="0" xfId="0" applyFont="1" applyFill="1"/>
    <xf numFmtId="0" fontId="0" fillId="2" borderId="0" xfId="0" applyFill="1"/>
    <xf numFmtId="0" fontId="6" fillId="0" borderId="0" xfId="0" applyFont="1"/>
    <xf numFmtId="0" fontId="4" fillId="0" borderId="0" xfId="0" applyFont="1"/>
    <xf numFmtId="164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0" fontId="0" fillId="4" borderId="0" xfId="0" applyFill="1"/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2" fontId="0" fillId="0" borderId="1" xfId="0" applyNumberFormat="1" applyBorder="1" applyProtection="1">
      <protection locked="0"/>
    </xf>
    <xf numFmtId="0" fontId="0" fillId="5" borderId="0" xfId="0" applyFill="1"/>
    <xf numFmtId="1" fontId="0" fillId="0" borderId="0" xfId="0" applyNumberFormat="1"/>
    <xf numFmtId="2" fontId="0" fillId="0" borderId="0" xfId="0" applyNumberFormat="1"/>
    <xf numFmtId="0" fontId="0" fillId="0" borderId="2" xfId="0" applyBorder="1" applyProtection="1">
      <protection locked="0"/>
    </xf>
    <xf numFmtId="0" fontId="1" fillId="0" borderId="0" xfId="1" applyFill="1" applyBorder="1" applyAlignment="1" applyProtection="1">
      <protection locked="0"/>
    </xf>
    <xf numFmtId="0" fontId="1" fillId="0" borderId="0" xfId="1" applyAlignment="1" applyProtection="1">
      <protection locked="0"/>
    </xf>
    <xf numFmtId="0" fontId="0" fillId="0" borderId="3" xfId="0" applyBorder="1" applyProtection="1">
      <protection locked="0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4" fillId="5" borderId="0" xfId="0" applyFont="1" applyFill="1"/>
    <xf numFmtId="0" fontId="12" fillId="0" borderId="0" xfId="0" applyFont="1" applyAlignment="1">
      <alignment wrapText="1"/>
    </xf>
    <xf numFmtId="1" fontId="5" fillId="0" borderId="1" xfId="0" applyNumberFormat="1" applyFont="1" applyBorder="1" applyProtection="1">
      <protection locked="0"/>
    </xf>
    <xf numFmtId="49" fontId="5" fillId="0" borderId="1" xfId="0" applyNumberFormat="1" applyFont="1" applyBorder="1" applyProtection="1">
      <protection locked="0"/>
    </xf>
  </cellXfs>
  <cellStyles count="3">
    <cellStyle name="Hyperlink" xfId="1" builtinId="8"/>
    <cellStyle name="Hyperlink 2" xfId="2" xr:uid="{8D1A741C-C50E-D94A-86AD-A6AF6E10030B}"/>
    <cellStyle name="Normal" xfId="0" builtinId="0"/>
  </cellStyles>
  <dxfs count="11">
    <dxf>
      <font>
        <color rgb="FF9C0006"/>
      </font>
    </dxf>
    <dxf>
      <font>
        <color rgb="FF9C0006"/>
      </font>
    </dxf>
    <dxf>
      <fill>
        <patternFill patternType="mediumGray">
          <fgColor indexed="64"/>
          <bgColor indexed="65"/>
        </patternFill>
      </fill>
      <border>
        <left/>
        <right/>
        <top/>
        <bottom/>
      </border>
    </dxf>
    <dxf>
      <font>
        <color auto="1"/>
      </font>
      <fill>
        <patternFill patternType="mediumGray">
          <fgColor indexed="64"/>
          <bgColor indexed="65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 patternType="mediumGray">
          <fgColor indexed="64"/>
          <bgColor indexed="65"/>
        </patternFill>
      </fill>
      <border>
        <left/>
        <right/>
        <top/>
        <bottom/>
      </border>
    </dxf>
    <dxf>
      <font>
        <color auto="1"/>
      </font>
      <fill>
        <patternFill patternType="mediumGray">
          <fgColor indexed="64"/>
          <bgColor indexed="65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57B2-3142-C648-BDCE-B51DF8A70EAE}">
  <sheetPr>
    <pageSetUpPr fitToPage="1"/>
  </sheetPr>
  <dimension ref="A1:G31"/>
  <sheetViews>
    <sheetView tabSelected="1" zoomScale="150" zoomScaleNormal="150" workbookViewId="0">
      <selection activeCell="E7" sqref="E7"/>
    </sheetView>
  </sheetViews>
  <sheetFormatPr baseColWidth="10" defaultColWidth="0" defaultRowHeight="13" zeroHeight="1" x14ac:dyDescent="0.15"/>
  <cols>
    <col min="1" max="1" width="43" customWidth="1"/>
    <col min="2" max="2" width="7.1640625" customWidth="1"/>
    <col min="3" max="3" width="10.83203125" customWidth="1"/>
    <col min="4" max="4" width="14" customWidth="1"/>
    <col min="5" max="5" width="8" customWidth="1"/>
    <col min="6" max="6" width="7" customWidth="1"/>
    <col min="7" max="7" width="48.33203125" customWidth="1"/>
    <col min="8" max="16384" width="10.83203125" hidden="1"/>
  </cols>
  <sheetData>
    <row r="1" spans="1:6" ht="16" x14ac:dyDescent="0.2">
      <c r="A1" s="20" t="s">
        <v>32</v>
      </c>
      <c r="B1" s="22" t="s">
        <v>142</v>
      </c>
    </row>
    <row r="2" spans="1:6" ht="16" x14ac:dyDescent="0.2">
      <c r="A2" s="20" t="s">
        <v>114</v>
      </c>
      <c r="B2" s="22" t="s">
        <v>143</v>
      </c>
    </row>
    <row r="3" spans="1:6" ht="28" x14ac:dyDescent="0.15">
      <c r="A3" s="24" t="s">
        <v>144</v>
      </c>
    </row>
    <row r="4" spans="1:6" x14ac:dyDescent="0.15">
      <c r="A4" s="4" t="s">
        <v>34</v>
      </c>
    </row>
    <row r="5" spans="1:6" x14ac:dyDescent="0.15">
      <c r="A5" s="1" t="s">
        <v>31</v>
      </c>
      <c r="B5" s="10">
        <v>67</v>
      </c>
    </row>
    <row r="6" spans="1:6" x14ac:dyDescent="0.15">
      <c r="A6" s="1" t="s">
        <v>30</v>
      </c>
      <c r="B6" s="26" t="s">
        <v>102</v>
      </c>
      <c r="E6" t="s">
        <v>59</v>
      </c>
      <c r="F6" t="s">
        <v>58</v>
      </c>
    </row>
    <row r="7" spans="1:6" x14ac:dyDescent="0.15">
      <c r="A7" s="1" t="s">
        <v>1</v>
      </c>
      <c r="B7" s="10">
        <v>183.5</v>
      </c>
      <c r="C7" s="1" t="s">
        <v>57</v>
      </c>
      <c r="E7" s="19">
        <v>250</v>
      </c>
      <c r="F7">
        <f>E7/2.2</f>
        <v>113.63636363636363</v>
      </c>
    </row>
    <row r="8" spans="1:6" x14ac:dyDescent="0.15">
      <c r="A8" s="1" t="s">
        <v>135</v>
      </c>
      <c r="B8" s="25">
        <v>168</v>
      </c>
      <c r="C8" s="1" t="s">
        <v>136</v>
      </c>
      <c r="E8" s="11">
        <v>72</v>
      </c>
      <c r="F8">
        <f>E8*2.54</f>
        <v>182.88</v>
      </c>
    </row>
    <row r="9" spans="1:6" x14ac:dyDescent="0.15">
      <c r="A9" s="1" t="s">
        <v>33</v>
      </c>
      <c r="B9" s="12">
        <v>1.24</v>
      </c>
    </row>
    <row r="10" spans="1:6" x14ac:dyDescent="0.15"/>
    <row r="11" spans="1:6" x14ac:dyDescent="0.15">
      <c r="A11" s="4" t="s">
        <v>35</v>
      </c>
    </row>
    <row r="12" spans="1:6" x14ac:dyDescent="0.15">
      <c r="A12" s="1" t="s">
        <v>36</v>
      </c>
      <c r="B12" s="11" t="s">
        <v>101</v>
      </c>
      <c r="C12" t="s">
        <v>98</v>
      </c>
    </row>
    <row r="13" spans="1:6" x14ac:dyDescent="0.15">
      <c r="A13" s="1" t="s">
        <v>37</v>
      </c>
      <c r="B13" s="11" t="s">
        <v>101</v>
      </c>
      <c r="C13" t="s">
        <v>98</v>
      </c>
    </row>
    <row r="14" spans="1:6" x14ac:dyDescent="0.15">
      <c r="A14" s="1" t="s">
        <v>38</v>
      </c>
      <c r="B14" s="11" t="s">
        <v>100</v>
      </c>
      <c r="C14" t="s">
        <v>99</v>
      </c>
    </row>
    <row r="15" spans="1:6" x14ac:dyDescent="0.15">
      <c r="A15" s="1" t="s">
        <v>39</v>
      </c>
      <c r="B15" s="6">
        <f>Calculation_Details!C6</f>
        <v>2.8615508528993447</v>
      </c>
      <c r="C15" t="s">
        <v>137</v>
      </c>
    </row>
    <row r="16" spans="1:6" x14ac:dyDescent="0.15">
      <c r="A16" s="1" t="s">
        <v>40</v>
      </c>
      <c r="B16" s="11" t="s">
        <v>101</v>
      </c>
      <c r="C16" t="s">
        <v>145</v>
      </c>
    </row>
    <row r="17" spans="1:3" x14ac:dyDescent="0.15"/>
    <row r="18" spans="1:3" x14ac:dyDescent="0.15">
      <c r="A18" s="4" t="s">
        <v>42</v>
      </c>
    </row>
    <row r="19" spans="1:3" x14ac:dyDescent="0.15">
      <c r="A19" s="1" t="s">
        <v>43</v>
      </c>
      <c r="B19" s="7">
        <f>Calculation_Details!A12</f>
        <v>150</v>
      </c>
      <c r="C19" t="s">
        <v>106</v>
      </c>
    </row>
    <row r="20" spans="1:3" x14ac:dyDescent="0.15">
      <c r="A20" s="1" t="s">
        <v>139</v>
      </c>
      <c r="B20" s="7">
        <f>Calculation_Details!B12</f>
        <v>91.47537755734767</v>
      </c>
      <c r="C20" t="s">
        <v>107</v>
      </c>
    </row>
    <row r="21" spans="1:3" x14ac:dyDescent="0.15">
      <c r="A21" s="1" t="s">
        <v>44</v>
      </c>
      <c r="B21" s="7">
        <f>Calculation_Details!C12</f>
        <v>52.432827589605736</v>
      </c>
      <c r="C21" t="s">
        <v>108</v>
      </c>
    </row>
    <row r="22" spans="1:3" x14ac:dyDescent="0.15">
      <c r="A22" s="1" t="s">
        <v>110</v>
      </c>
      <c r="B22" s="7">
        <f>Calculation_Details!D12</f>
        <v>150</v>
      </c>
      <c r="C22" t="s">
        <v>109</v>
      </c>
    </row>
    <row r="23" spans="1:3" x14ac:dyDescent="0.15">
      <c r="A23" s="1" t="s">
        <v>45</v>
      </c>
      <c r="B23" s="12">
        <v>42</v>
      </c>
      <c r="C23" t="s">
        <v>56</v>
      </c>
    </row>
    <row r="24" spans="1:3" x14ac:dyDescent="0.15"/>
    <row r="25" spans="1:3" x14ac:dyDescent="0.15">
      <c r="A25" s="1" t="s">
        <v>41</v>
      </c>
      <c r="B25" s="11">
        <v>2</v>
      </c>
      <c r="C25" t="s">
        <v>141</v>
      </c>
    </row>
    <row r="26" spans="1:3" x14ac:dyDescent="0.15"/>
    <row r="27" spans="1:3" x14ac:dyDescent="0.15">
      <c r="A27" s="17" t="s">
        <v>113</v>
      </c>
    </row>
    <row r="28" spans="1:3" x14ac:dyDescent="0.15">
      <c r="A28" s="18" t="s">
        <v>111</v>
      </c>
    </row>
    <row r="29" spans="1:3" x14ac:dyDescent="0.15">
      <c r="A29" s="17" t="s">
        <v>112</v>
      </c>
    </row>
    <row r="30" spans="1:3" x14ac:dyDescent="0.15">
      <c r="A30" s="18" t="s">
        <v>140</v>
      </c>
    </row>
    <row r="31" spans="1:3" x14ac:dyDescent="0.15"/>
  </sheetData>
  <sheetProtection password="EC2E" sheet="1" objects="1" scenarios="1" selectLockedCells="1"/>
  <phoneticPr fontId="3" type="noConversion"/>
  <conditionalFormatting sqref="B5">
    <cfRule type="colorScale" priority="11">
      <colorScale>
        <cfvo type="num" val="0"/>
        <cfvo type="num" val="1"/>
        <color theme="5" tint="0.39997558519241921"/>
        <color theme="0"/>
      </colorScale>
    </cfRule>
  </conditionalFormatting>
  <conditionalFormatting sqref="B7">
    <cfRule type="colorScale" priority="10">
      <colorScale>
        <cfvo type="num" val="0"/>
        <cfvo type="num" val="1"/>
        <color theme="5" tint="0.39997558519241921"/>
        <color theme="0"/>
      </colorScale>
    </cfRule>
  </conditionalFormatting>
  <conditionalFormatting sqref="B8">
    <cfRule type="colorScale" priority="9">
      <colorScale>
        <cfvo type="num" val="0"/>
        <cfvo type="num" val="1"/>
        <color theme="5" tint="0.39997558519241921"/>
        <color theme="0"/>
      </colorScale>
    </cfRule>
  </conditionalFormatting>
  <conditionalFormatting sqref="B9">
    <cfRule type="colorScale" priority="8">
      <colorScale>
        <cfvo type="num" val="0"/>
        <cfvo type="num" val="1E-3"/>
        <color theme="5" tint="0.39997558519241921"/>
        <color theme="0"/>
      </colorScale>
    </cfRule>
  </conditionalFormatting>
  <conditionalFormatting sqref="B19:B25">
    <cfRule type="expression" dxfId="10" priority="2" stopIfTrue="1">
      <formula>$B$13="YES"</formula>
    </cfRule>
    <cfRule type="expression" dxfId="9" priority="3" stopIfTrue="1">
      <formula>$B$12="YES"</formula>
    </cfRule>
  </conditionalFormatting>
  <conditionalFormatting sqref="B22">
    <cfRule type="expression" dxfId="8" priority="1" stopIfTrue="1">
      <formula>$B$16="YES"</formula>
    </cfRule>
  </conditionalFormatting>
  <conditionalFormatting sqref="C12">
    <cfRule type="expression" dxfId="7" priority="7" stopIfTrue="1">
      <formula>$B$12="YES"</formula>
    </cfRule>
  </conditionalFormatting>
  <conditionalFormatting sqref="C13">
    <cfRule type="expression" dxfId="6" priority="6" stopIfTrue="1">
      <formula>$B$13="YES"</formula>
    </cfRule>
  </conditionalFormatting>
  <conditionalFormatting sqref="C14">
    <cfRule type="expression" dxfId="5" priority="5">
      <formula>$B$14="NO"</formula>
    </cfRule>
  </conditionalFormatting>
  <conditionalFormatting sqref="C16">
    <cfRule type="expression" dxfId="4" priority="4">
      <formula>$B$16="YES"</formula>
    </cfRule>
  </conditionalFormatting>
  <hyperlinks>
    <hyperlink ref="A27" location="Vanco_InitialDose!A1" display="To select or evaluate an initial vancomycin dose, click here " xr:uid="{DBBB2E92-8546-D541-992F-2CA31D5E989F}"/>
    <hyperlink ref="A28" location="Vanco_DoseRevisionTrough!A1" display="To evaluate a vancomycin dosing regimen with a single trough level, click here" xr:uid="{D612F470-B077-E141-BC7D-D2DDC666C099}"/>
    <hyperlink ref="A29" location="Vanco_DoseRevisionTwoLevels!A1" display="To evaluate a vancomycin dosing regimen with two postdistributional levels, click here" xr:uid="{2DEB6920-31ED-3E42-BC05-CD9AD202318B}"/>
    <hyperlink ref="A30" location="Tracking_QI!A1" display="To record patient information for follow-up/QI, click here" xr:uid="{C3DAAFF2-084D-074F-A533-5D78EA1AED58}"/>
  </hyperlinks>
  <pageMargins left="0.25" right="0.25" top="0.75" bottom="0.75" header="0.3" footer="0.3"/>
  <pageSetup scale="80" orientation="landscape" horizontalDpi="4294967292" verticalDpi="4294967292"/>
  <headerFooter alignWithMargins="0"/>
  <ignoredErrors>
    <ignoredError sqref="F7:F8" emptyCellReferenc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EDAA-4E6F-7D46-9AFA-572A12B6DC16}">
  <dimension ref="A1:C25"/>
  <sheetViews>
    <sheetView zoomScale="150" zoomScaleNormal="150" workbookViewId="0">
      <selection activeCell="B9" sqref="B9"/>
    </sheetView>
  </sheetViews>
  <sheetFormatPr baseColWidth="10" defaultColWidth="0" defaultRowHeight="13" zeroHeight="1" x14ac:dyDescent="0.15"/>
  <cols>
    <col min="1" max="1" width="42.83203125" customWidth="1"/>
    <col min="2" max="2" width="15.5" customWidth="1"/>
    <col min="3" max="3" width="93.33203125" customWidth="1"/>
    <col min="4" max="16384" width="10.83203125" hidden="1"/>
  </cols>
  <sheetData>
    <row r="1" spans="1:3" ht="16" x14ac:dyDescent="0.2">
      <c r="A1" s="20" t="s">
        <v>32</v>
      </c>
      <c r="B1" s="22" t="s">
        <v>142</v>
      </c>
    </row>
    <row r="2" spans="1:3" ht="16" x14ac:dyDescent="0.2">
      <c r="A2" s="20" t="s">
        <v>115</v>
      </c>
      <c r="B2" s="22" t="s">
        <v>143</v>
      </c>
    </row>
    <row r="3" spans="1:3" x14ac:dyDescent="0.15"/>
    <row r="4" spans="1:3" x14ac:dyDescent="0.15">
      <c r="A4" s="4" t="s">
        <v>46</v>
      </c>
    </row>
    <row r="5" spans="1:3" x14ac:dyDescent="0.15">
      <c r="A5" s="1" t="s">
        <v>47</v>
      </c>
      <c r="B5" s="8">
        <f>Calculation_Details!A23</f>
        <v>24</v>
      </c>
    </row>
    <row r="6" spans="1:3" x14ac:dyDescent="0.15">
      <c r="A6" s="1" t="s">
        <v>49</v>
      </c>
      <c r="B6" s="11">
        <v>12</v>
      </c>
      <c r="C6" t="s">
        <v>55</v>
      </c>
    </row>
    <row r="7" spans="1:3" x14ac:dyDescent="0.15">
      <c r="A7" s="1"/>
    </row>
    <row r="8" spans="1:3" x14ac:dyDescent="0.15">
      <c r="A8" s="1" t="s">
        <v>48</v>
      </c>
      <c r="B8" s="7">
        <f>Calculation_Details!A26</f>
        <v>903.58315337088504</v>
      </c>
      <c r="C8" t="s">
        <v>133</v>
      </c>
    </row>
    <row r="9" spans="1:3" x14ac:dyDescent="0.15">
      <c r="A9" s="1" t="s">
        <v>50</v>
      </c>
      <c r="B9" s="11">
        <v>1000</v>
      </c>
      <c r="C9" t="s">
        <v>52</v>
      </c>
    </row>
    <row r="10" spans="1:3" x14ac:dyDescent="0.15"/>
    <row r="11" spans="1:3" x14ac:dyDescent="0.15">
      <c r="A11" s="1" t="s">
        <v>51</v>
      </c>
      <c r="B11" s="7">
        <f>Calculation_Details!B29</f>
        <v>485.86237773745586</v>
      </c>
      <c r="C11" t="s">
        <v>53</v>
      </c>
    </row>
    <row r="12" spans="1:3" x14ac:dyDescent="0.15">
      <c r="A12" s="1" t="s">
        <v>131</v>
      </c>
      <c r="B12" s="7">
        <f>Calculation_Details!D26</f>
        <v>16.600575103731593</v>
      </c>
      <c r="C12" t="s">
        <v>54</v>
      </c>
    </row>
    <row r="13" spans="1:3" x14ac:dyDescent="0.15">
      <c r="A13" s="1" t="s">
        <v>132</v>
      </c>
      <c r="B13" s="7">
        <f>Calculation_Details!C26</f>
        <v>22.871779715954023</v>
      </c>
      <c r="C13" t="s">
        <v>63</v>
      </c>
    </row>
    <row r="14" spans="1:3" x14ac:dyDescent="0.15"/>
    <row r="15" spans="1:3" x14ac:dyDescent="0.15">
      <c r="A15" s="1" t="s">
        <v>129</v>
      </c>
      <c r="B15" s="8">
        <f>Calculation_Details!D29</f>
        <v>4495.75</v>
      </c>
      <c r="C15" t="s">
        <v>134</v>
      </c>
    </row>
    <row r="16" spans="1:3" x14ac:dyDescent="0.15"/>
    <row r="17" spans="1:3" x14ac:dyDescent="0.15">
      <c r="A17" s="4" t="s">
        <v>60</v>
      </c>
    </row>
    <row r="18" spans="1:3" x14ac:dyDescent="0.15">
      <c r="A18" s="1" t="s">
        <v>61</v>
      </c>
      <c r="B18" s="7">
        <f>Calculation_Details!D20</f>
        <v>21.62472626866035</v>
      </c>
      <c r="C18" t="s">
        <v>62</v>
      </c>
    </row>
    <row r="19" spans="1:3" x14ac:dyDescent="0.15">
      <c r="C19" t="s">
        <v>65</v>
      </c>
    </row>
    <row r="20" spans="1:3" x14ac:dyDescent="0.15">
      <c r="C20" t="s">
        <v>130</v>
      </c>
    </row>
    <row r="21" spans="1:3" x14ac:dyDescent="0.15">
      <c r="C21" t="s">
        <v>64</v>
      </c>
    </row>
    <row r="22" spans="1:3" x14ac:dyDescent="0.15">
      <c r="A22" s="18" t="s">
        <v>118</v>
      </c>
    </row>
    <row r="23" spans="1:3" x14ac:dyDescent="0.15">
      <c r="A23" s="18" t="s">
        <v>127</v>
      </c>
    </row>
    <row r="24" spans="1:3" x14ac:dyDescent="0.15">
      <c r="A24" s="18" t="s">
        <v>140</v>
      </c>
    </row>
    <row r="25" spans="1:3" x14ac:dyDescent="0.15"/>
  </sheetData>
  <sheetProtection password="EC2E" sheet="1" objects="1" scenarios="1" selectLockedCells="1"/>
  <conditionalFormatting sqref="B4:B20">
    <cfRule type="expression" dxfId="3" priority="5" stopIfTrue="1">
      <formula>$B$12="YES"</formula>
    </cfRule>
    <cfRule type="expression" dxfId="2" priority="6" stopIfTrue="1">
      <formula>$B$11="YES"</formula>
    </cfRule>
  </conditionalFormatting>
  <conditionalFormatting sqref="B11">
    <cfRule type="iconSet" priority="4">
      <iconSet>
        <cfvo type="percent" val="0"/>
        <cfvo type="num" val="350"/>
        <cfvo type="num" val="400"/>
      </iconSet>
    </cfRule>
  </conditionalFormatting>
  <conditionalFormatting sqref="B12">
    <cfRule type="iconSet" priority="1">
      <iconSet reverse="1">
        <cfvo type="percent" val="0"/>
        <cfvo type="num" val="18"/>
        <cfvo type="num" val="22"/>
      </iconSet>
    </cfRule>
    <cfRule type="iconSet" priority="3">
      <iconSet>
        <cfvo type="percent" val="0"/>
        <cfvo type="num" val="8"/>
        <cfvo type="num" val="12"/>
      </iconSet>
    </cfRule>
  </conditionalFormatting>
  <conditionalFormatting sqref="B13">
    <cfRule type="iconSet" priority="2">
      <iconSet reverse="1">
        <cfvo type="percent" val="0"/>
        <cfvo type="num" val="75"/>
        <cfvo type="num" val="100"/>
      </iconSet>
    </cfRule>
  </conditionalFormatting>
  <hyperlinks>
    <hyperlink ref="A22" location="Patient_Info!A1" display="To return to patient information tab, click here" xr:uid="{EBCEA791-A6E7-784E-96E1-5AF15CA7B207}"/>
    <hyperlink ref="A23" location="Calculation_Details!A1" display="To view calculation details, click here" xr:uid="{3C4E2382-81BE-4546-8A55-16CF6F8C2A33}"/>
    <hyperlink ref="A24" location="Tracking_QI!A1" display="To record patient information for follow-up/QI, click here" xr:uid="{C804E5BD-29C3-BC4A-BEF3-C546A3C0426E}"/>
  </hyperlinks>
  <pageMargins left="0.75" right="0.75" top="1" bottom="1" header="0.5" footer="0.5"/>
  <pageSetup orientation="portrait" horizontalDpi="4294967292" verticalDpi="4294967292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EB79-3F8C-2645-9213-FA6E23EB2200}">
  <dimension ref="A1:C32"/>
  <sheetViews>
    <sheetView topLeftCell="A2" zoomScale="150" zoomScaleNormal="150" workbookViewId="0">
      <selection activeCell="B18" sqref="B18"/>
    </sheetView>
  </sheetViews>
  <sheetFormatPr baseColWidth="10" defaultColWidth="0" defaultRowHeight="13" zeroHeight="1" x14ac:dyDescent="0.15"/>
  <cols>
    <col min="1" max="1" width="45.83203125" customWidth="1"/>
    <col min="2" max="2" width="10.83203125" customWidth="1"/>
    <col min="3" max="3" width="76.6640625" customWidth="1"/>
    <col min="4" max="16384" width="10.83203125" hidden="1"/>
  </cols>
  <sheetData>
    <row r="1" spans="1:3" ht="16" x14ac:dyDescent="0.2">
      <c r="A1" s="20" t="s">
        <v>32</v>
      </c>
      <c r="B1" s="22" t="s">
        <v>142</v>
      </c>
    </row>
    <row r="2" spans="1:3" ht="31" customHeight="1" x14ac:dyDescent="0.2">
      <c r="A2" s="21" t="s">
        <v>116</v>
      </c>
      <c r="B2" s="22" t="s">
        <v>143</v>
      </c>
    </row>
    <row r="3" spans="1:3" x14ac:dyDescent="0.15">
      <c r="A3" s="1"/>
    </row>
    <row r="4" spans="1:3" x14ac:dyDescent="0.15">
      <c r="A4" s="4" t="s">
        <v>119</v>
      </c>
    </row>
    <row r="5" spans="1:3" x14ac:dyDescent="0.15">
      <c r="A5" s="1" t="s">
        <v>121</v>
      </c>
      <c r="B5" s="16">
        <v>500</v>
      </c>
    </row>
    <row r="6" spans="1:3" x14ac:dyDescent="0.15">
      <c r="A6" s="1" t="s">
        <v>120</v>
      </c>
      <c r="B6" s="16">
        <v>12</v>
      </c>
    </row>
    <row r="7" spans="1:3" x14ac:dyDescent="0.15"/>
    <row r="8" spans="1:3" x14ac:dyDescent="0.15">
      <c r="A8" s="4" t="s">
        <v>67</v>
      </c>
      <c r="B8" s="5" t="s">
        <v>69</v>
      </c>
    </row>
    <row r="9" spans="1:3" x14ac:dyDescent="0.15">
      <c r="A9" s="1" t="s">
        <v>95</v>
      </c>
      <c r="B9" s="11" t="s">
        <v>100</v>
      </c>
      <c r="C9" t="s">
        <v>96</v>
      </c>
    </row>
    <row r="10" spans="1:3" x14ac:dyDescent="0.15">
      <c r="A10" s="1" t="s">
        <v>72</v>
      </c>
      <c r="B10" s="11" t="s">
        <v>100</v>
      </c>
      <c r="C10" t="s">
        <v>97</v>
      </c>
    </row>
    <row r="11" spans="1:3" x14ac:dyDescent="0.15">
      <c r="A11" s="1" t="s">
        <v>68</v>
      </c>
      <c r="B11" s="11">
        <v>8.8000000000000007</v>
      </c>
    </row>
    <row r="12" spans="1:3" x14ac:dyDescent="0.15"/>
    <row r="13" spans="1:3" x14ac:dyDescent="0.15">
      <c r="A13" s="4" t="s">
        <v>74</v>
      </c>
    </row>
    <row r="14" spans="1:3" x14ac:dyDescent="0.15">
      <c r="A14" s="1" t="s">
        <v>47</v>
      </c>
      <c r="B14" s="9">
        <f>Calculation_Details!A39</f>
        <v>24</v>
      </c>
    </row>
    <row r="15" spans="1:3" x14ac:dyDescent="0.15">
      <c r="A15" s="1" t="s">
        <v>122</v>
      </c>
      <c r="B15" s="11">
        <v>12</v>
      </c>
      <c r="C15" t="s">
        <v>55</v>
      </c>
    </row>
    <row r="16" spans="1:3" x14ac:dyDescent="0.15"/>
    <row r="17" spans="1:3" x14ac:dyDescent="0.15">
      <c r="A17" s="1" t="s">
        <v>48</v>
      </c>
      <c r="B17" s="9">
        <f>Calculation_Details!A42</f>
        <v>852.27272727272725</v>
      </c>
      <c r="C17" t="s">
        <v>133</v>
      </c>
    </row>
    <row r="18" spans="1:3" x14ac:dyDescent="0.15">
      <c r="A18" s="1" t="s">
        <v>50</v>
      </c>
      <c r="B18" s="11">
        <v>750</v>
      </c>
      <c r="C18" t="s">
        <v>52</v>
      </c>
    </row>
    <row r="19" spans="1:3" x14ac:dyDescent="0.15"/>
    <row r="20" spans="1:3" x14ac:dyDescent="0.15">
      <c r="A20" s="1" t="s">
        <v>51</v>
      </c>
      <c r="B20" s="9">
        <f>Calculation_Details!B45</f>
        <v>382.59857861653836</v>
      </c>
      <c r="C20" t="s">
        <v>53</v>
      </c>
    </row>
    <row r="21" spans="1:3" x14ac:dyDescent="0.15">
      <c r="A21" s="1" t="s">
        <v>131</v>
      </c>
      <c r="B21" s="9">
        <f>Calculation_Details!D42</f>
        <v>13.200000000000001</v>
      </c>
      <c r="C21" t="s">
        <v>54</v>
      </c>
    </row>
    <row r="22" spans="1:3" x14ac:dyDescent="0.15">
      <c r="A22" s="1" t="s">
        <v>132</v>
      </c>
      <c r="B22" s="9">
        <f>Calculation_Details!C42</f>
        <v>17.911400310692947</v>
      </c>
      <c r="C22" t="s">
        <v>63</v>
      </c>
    </row>
    <row r="23" spans="1:3" x14ac:dyDescent="0.15">
      <c r="A23" s="1"/>
    </row>
    <row r="24" spans="1:3" x14ac:dyDescent="0.15">
      <c r="A24" s="4" t="s">
        <v>60</v>
      </c>
    </row>
    <row r="25" spans="1:3" x14ac:dyDescent="0.15">
      <c r="A25" s="1" t="s">
        <v>61</v>
      </c>
      <c r="B25" s="9">
        <f>Calculation_Details!B36</f>
        <v>22.704891789561987</v>
      </c>
      <c r="C25" t="s">
        <v>62</v>
      </c>
    </row>
    <row r="26" spans="1:3" x14ac:dyDescent="0.15">
      <c r="C26" t="s">
        <v>65</v>
      </c>
    </row>
    <row r="27" spans="1:3" x14ac:dyDescent="0.15">
      <c r="C27" t="s">
        <v>130</v>
      </c>
    </row>
    <row r="28" spans="1:3" x14ac:dyDescent="0.15">
      <c r="C28" t="s">
        <v>64</v>
      </c>
    </row>
    <row r="29" spans="1:3" x14ac:dyDescent="0.15">
      <c r="A29" s="18" t="s">
        <v>118</v>
      </c>
    </row>
    <row r="30" spans="1:3" x14ac:dyDescent="0.15">
      <c r="A30" s="18" t="s">
        <v>127</v>
      </c>
    </row>
    <row r="31" spans="1:3" x14ac:dyDescent="0.15">
      <c r="A31" s="18" t="s">
        <v>118</v>
      </c>
    </row>
    <row r="32" spans="1:3" x14ac:dyDescent="0.15"/>
  </sheetData>
  <sheetProtection password="EC2E" sheet="1" objects="1" scenarios="1" selectLockedCells="1"/>
  <conditionalFormatting sqref="B20">
    <cfRule type="iconSet" priority="5">
      <iconSet>
        <cfvo type="percent" val="0"/>
        <cfvo type="num" val="350"/>
        <cfvo type="num" val="400"/>
      </iconSet>
    </cfRule>
  </conditionalFormatting>
  <conditionalFormatting sqref="B21">
    <cfRule type="iconSet" priority="4">
      <iconSet reverse="1">
        <cfvo type="percent" val="0"/>
        <cfvo type="num" val="19"/>
        <cfvo type="num" val="22"/>
      </iconSet>
    </cfRule>
  </conditionalFormatting>
  <conditionalFormatting sqref="B22:B23">
    <cfRule type="iconSet" priority="3">
      <iconSet reverse="1">
        <cfvo type="percent" val="0"/>
        <cfvo type="num" val="75"/>
        <cfvo type="num" val="100"/>
      </iconSet>
    </cfRule>
  </conditionalFormatting>
  <conditionalFormatting sqref="C9">
    <cfRule type="expression" dxfId="1" priority="2">
      <formula>$B$7="NO"</formula>
    </cfRule>
  </conditionalFormatting>
  <conditionalFormatting sqref="C10">
    <cfRule type="expression" dxfId="0" priority="1">
      <formula>$B$8="NO"</formula>
    </cfRule>
  </conditionalFormatting>
  <hyperlinks>
    <hyperlink ref="A29" location="Patient_Info!A1" display="To return to patient information tab, click here" xr:uid="{574491F7-8715-2D4E-8588-C3FF2234AB7B}"/>
    <hyperlink ref="A30" location="Calculation_Details!A1" display="To view calculation details, click here" xr:uid="{7F0FEBD9-8EF4-5147-A5DC-5866C98180A9}"/>
    <hyperlink ref="A31" location="Patient_Info!A1" display="To return to patient information tab, click here" xr:uid="{F0BA53D0-E4BE-064E-A73D-2FA05B2E82AB}"/>
  </hyperlinks>
  <pageMargins left="0.75" right="0.75" top="1" bottom="1" header="0.5" footer="0.5"/>
  <pageSetup orientation="portrait" horizontalDpi="4294967292" verticalDpi="4294967292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E9BA-4795-134B-9F8C-E1B3FCC44B53}">
  <dimension ref="A1:C34"/>
  <sheetViews>
    <sheetView zoomScale="150" zoomScaleNormal="150" workbookViewId="0">
      <selection activeCell="B9" sqref="B9"/>
    </sheetView>
  </sheetViews>
  <sheetFormatPr baseColWidth="10" defaultColWidth="0" defaultRowHeight="13" zeroHeight="1" x14ac:dyDescent="0.15"/>
  <cols>
    <col min="1" max="1" width="50.33203125" bestFit="1" customWidth="1"/>
    <col min="2" max="2" width="10.83203125" customWidth="1"/>
    <col min="3" max="3" width="79.83203125" customWidth="1"/>
    <col min="4" max="16384" width="10.83203125" hidden="1"/>
  </cols>
  <sheetData>
    <row r="1" spans="1:3" ht="16" x14ac:dyDescent="0.2">
      <c r="A1" s="20" t="s">
        <v>32</v>
      </c>
      <c r="B1" s="22" t="s">
        <v>142</v>
      </c>
    </row>
    <row r="2" spans="1:3" ht="34" x14ac:dyDescent="0.2">
      <c r="A2" s="21" t="s">
        <v>117</v>
      </c>
      <c r="B2" s="22" t="s">
        <v>143</v>
      </c>
    </row>
    <row r="3" spans="1:3" x14ac:dyDescent="0.15">
      <c r="A3" s="1"/>
    </row>
    <row r="4" spans="1:3" x14ac:dyDescent="0.15">
      <c r="A4" s="4" t="s">
        <v>119</v>
      </c>
    </row>
    <row r="5" spans="1:3" x14ac:dyDescent="0.15">
      <c r="A5" s="1" t="s">
        <v>121</v>
      </c>
      <c r="B5" s="16"/>
    </row>
    <row r="6" spans="1:3" x14ac:dyDescent="0.15">
      <c r="A6" s="1" t="s">
        <v>120</v>
      </c>
      <c r="B6" s="16"/>
    </row>
    <row r="7" spans="1:3" x14ac:dyDescent="0.15">
      <c r="A7" s="1"/>
    </row>
    <row r="8" spans="1:3" x14ac:dyDescent="0.15">
      <c r="A8" s="4" t="s">
        <v>82</v>
      </c>
    </row>
    <row r="9" spans="1:3" x14ac:dyDescent="0.15">
      <c r="A9" s="1" t="s">
        <v>84</v>
      </c>
      <c r="B9" s="11">
        <v>44.7</v>
      </c>
      <c r="C9" t="s">
        <v>91</v>
      </c>
    </row>
    <row r="10" spans="1:3" x14ac:dyDescent="0.15">
      <c r="A10" s="1" t="s">
        <v>124</v>
      </c>
      <c r="B10" s="11">
        <v>1</v>
      </c>
    </row>
    <row r="11" spans="1:3" x14ac:dyDescent="0.15">
      <c r="A11" s="1" t="s">
        <v>94</v>
      </c>
      <c r="B11" s="11">
        <v>8.25</v>
      </c>
    </row>
    <row r="12" spans="1:3" x14ac:dyDescent="0.15">
      <c r="A12" s="1" t="s">
        <v>83</v>
      </c>
      <c r="B12" s="11">
        <v>25.9</v>
      </c>
      <c r="C12" t="s">
        <v>128</v>
      </c>
    </row>
    <row r="13" spans="1:3" x14ac:dyDescent="0.15">
      <c r="A13" s="1" t="s">
        <v>93</v>
      </c>
      <c r="B13" s="11">
        <v>0.5</v>
      </c>
    </row>
    <row r="14" spans="1:3" x14ac:dyDescent="0.15"/>
    <row r="15" spans="1:3" x14ac:dyDescent="0.15">
      <c r="A15" s="4" t="s">
        <v>74</v>
      </c>
    </row>
    <row r="16" spans="1:3" x14ac:dyDescent="0.15">
      <c r="A16" s="1" t="s">
        <v>47</v>
      </c>
      <c r="B16" s="9">
        <f>Calculation_Details!A55</f>
        <v>12</v>
      </c>
    </row>
    <row r="17" spans="1:3" x14ac:dyDescent="0.15">
      <c r="A17" s="1" t="s">
        <v>75</v>
      </c>
      <c r="B17" s="11">
        <v>12</v>
      </c>
      <c r="C17" t="s">
        <v>55</v>
      </c>
    </row>
    <row r="18" spans="1:3" x14ac:dyDescent="0.15"/>
    <row r="19" spans="1:3" x14ac:dyDescent="0.15">
      <c r="A19" s="1" t="s">
        <v>48</v>
      </c>
      <c r="B19" s="9">
        <f>Calculation_Details!A58</f>
        <v>774.83300550753177</v>
      </c>
      <c r="C19" t="s">
        <v>133</v>
      </c>
    </row>
    <row r="20" spans="1:3" x14ac:dyDescent="0.15">
      <c r="A20" s="1" t="s">
        <v>50</v>
      </c>
      <c r="B20" s="11">
        <v>750</v>
      </c>
      <c r="C20" t="s">
        <v>52</v>
      </c>
    </row>
    <row r="21" spans="1:3" x14ac:dyDescent="0.15"/>
    <row r="22" spans="1:3" x14ac:dyDescent="0.15">
      <c r="A22" s="1" t="s">
        <v>51</v>
      </c>
      <c r="B22" s="9">
        <f>Calculation_Details!B61</f>
        <v>531.94622941844921</v>
      </c>
      <c r="C22" t="s">
        <v>53</v>
      </c>
    </row>
    <row r="23" spans="1:3" x14ac:dyDescent="0.15">
      <c r="A23" s="1" t="s">
        <v>131</v>
      </c>
      <c r="B23" s="9">
        <f>Calculation_Details!D58</f>
        <v>14.519257594907195</v>
      </c>
      <c r="C23" t="s">
        <v>54</v>
      </c>
    </row>
    <row r="24" spans="1:3" x14ac:dyDescent="0.15">
      <c r="A24" s="1" t="s">
        <v>132</v>
      </c>
      <c r="B24" s="9">
        <f>Calculation_Details!C58</f>
        <v>28.133679948703673</v>
      </c>
      <c r="C24" t="s">
        <v>63</v>
      </c>
    </row>
    <row r="25" spans="1:3" x14ac:dyDescent="0.15">
      <c r="A25" s="1"/>
    </row>
    <row r="26" spans="1:3" x14ac:dyDescent="0.15">
      <c r="A26" s="4" t="s">
        <v>60</v>
      </c>
    </row>
    <row r="27" spans="1:3" x14ac:dyDescent="0.15">
      <c r="A27" s="1" t="s">
        <v>61</v>
      </c>
      <c r="B27" s="9">
        <f>Calculation_Details!B52</f>
        <v>10.476324220804843</v>
      </c>
      <c r="C27" t="s">
        <v>62</v>
      </c>
    </row>
    <row r="28" spans="1:3" x14ac:dyDescent="0.15">
      <c r="C28" t="s">
        <v>65</v>
      </c>
    </row>
    <row r="29" spans="1:3" x14ac:dyDescent="0.15">
      <c r="C29" t="s">
        <v>130</v>
      </c>
    </row>
    <row r="30" spans="1:3" x14ac:dyDescent="0.15">
      <c r="C30" t="s">
        <v>64</v>
      </c>
    </row>
    <row r="31" spans="1:3" x14ac:dyDescent="0.15">
      <c r="A31" s="18" t="s">
        <v>118</v>
      </c>
    </row>
    <row r="32" spans="1:3" x14ac:dyDescent="0.15">
      <c r="A32" s="18" t="s">
        <v>127</v>
      </c>
    </row>
    <row r="33" spans="1:1" x14ac:dyDescent="0.15">
      <c r="A33" s="18" t="s">
        <v>140</v>
      </c>
    </row>
    <row r="34" spans="1:1" x14ac:dyDescent="0.15"/>
  </sheetData>
  <sheetProtection password="EC2E" sheet="1" objects="1" scenarios="1" selectLockedCells="1"/>
  <conditionalFormatting sqref="B22">
    <cfRule type="iconSet" priority="3">
      <iconSet>
        <cfvo type="percent" val="0"/>
        <cfvo type="num" val="350"/>
        <cfvo type="num" val="400"/>
      </iconSet>
    </cfRule>
  </conditionalFormatting>
  <conditionalFormatting sqref="B23">
    <cfRule type="iconSet" priority="2">
      <iconSet reverse="1">
        <cfvo type="percent" val="0"/>
        <cfvo type="num" val="19"/>
        <cfvo type="num" val="22"/>
      </iconSet>
    </cfRule>
  </conditionalFormatting>
  <conditionalFormatting sqref="B24:B25">
    <cfRule type="iconSet" priority="1">
      <iconSet reverse="1">
        <cfvo type="percent" val="0"/>
        <cfvo type="num" val="75"/>
        <cfvo type="num" val="100"/>
      </iconSet>
    </cfRule>
  </conditionalFormatting>
  <hyperlinks>
    <hyperlink ref="A31" location="Patient_Info!A1" display="To return to patient information tab, click here" xr:uid="{0877E963-520D-1543-BBB3-910179CE144E}"/>
    <hyperlink ref="A32" location="Calculation_Details!A1" display="To view calculation details, click here" xr:uid="{4B5E89ED-F47E-404C-911D-339C6CBD29A3}"/>
    <hyperlink ref="A33" location="Tracking_QI!A1" display="To record patient information for follow-up/QI, click here" xr:uid="{0190D90E-0F88-BD4E-88A6-696B9ADBBD7D}"/>
  </hyperlinks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DA69-DDB4-184F-9FDC-6A7C227D9730}">
  <dimension ref="A1:G62"/>
  <sheetViews>
    <sheetView zoomScale="125" zoomScaleNormal="125" workbookViewId="0">
      <selection activeCell="B12" sqref="B12"/>
    </sheetView>
  </sheetViews>
  <sheetFormatPr baseColWidth="10" defaultColWidth="0" defaultRowHeight="13" zeroHeight="1" x14ac:dyDescent="0.15"/>
  <cols>
    <col min="1" max="1" width="11" customWidth="1"/>
    <col min="2" max="2" width="13.5" bestFit="1" customWidth="1"/>
    <col min="3" max="3" width="15.6640625" customWidth="1"/>
    <col min="4" max="4" width="16" customWidth="1"/>
    <col min="5" max="6" width="8.83203125" customWidth="1"/>
    <col min="7" max="7" width="0" hidden="1" customWidth="1"/>
    <col min="8" max="16384" width="8.83203125" hidden="1"/>
  </cols>
  <sheetData>
    <row r="1" spans="1:7" x14ac:dyDescent="0.15">
      <c r="A1" s="23" t="s">
        <v>104</v>
      </c>
      <c r="B1" s="13"/>
      <c r="C1" s="13"/>
      <c r="D1" s="13"/>
      <c r="E1" s="13"/>
      <c r="F1" s="13"/>
      <c r="G1" s="13"/>
    </row>
    <row r="2" spans="1:7" x14ac:dyDescent="0.15">
      <c r="A2" s="1" t="s">
        <v>0</v>
      </c>
      <c r="B2" s="1" t="s">
        <v>1</v>
      </c>
      <c r="C2" s="1" t="s">
        <v>135</v>
      </c>
      <c r="D2" s="1" t="s">
        <v>2</v>
      </c>
      <c r="E2" s="1" t="s">
        <v>17</v>
      </c>
    </row>
    <row r="3" spans="1:7" x14ac:dyDescent="0.15">
      <c r="A3" s="14">
        <f>Patient_Info!B5</f>
        <v>67</v>
      </c>
      <c r="B3" s="14">
        <f>Patient_Info!B7</f>
        <v>183.5</v>
      </c>
      <c r="C3" s="14">
        <f>Patient_Info!B8</f>
        <v>168</v>
      </c>
      <c r="D3" s="15">
        <f>Patient_Info!B9</f>
        <v>1.24</v>
      </c>
      <c r="E3">
        <f>IF(Patient_Info!B6="FEMALE",1,0)</f>
        <v>0</v>
      </c>
    </row>
    <row r="4" spans="1:7" x14ac:dyDescent="0.15"/>
    <row r="5" spans="1:7" x14ac:dyDescent="0.15">
      <c r="A5" s="1" t="s">
        <v>3</v>
      </c>
      <c r="B5" s="1" t="s">
        <v>4</v>
      </c>
      <c r="C5" s="1" t="s">
        <v>15</v>
      </c>
      <c r="D5" s="1" t="s">
        <v>19</v>
      </c>
      <c r="E5" s="1" t="s">
        <v>146</v>
      </c>
    </row>
    <row r="6" spans="1:7" x14ac:dyDescent="0.15">
      <c r="A6">
        <f>IF(E3=1,(45.5+(2.3*(E6-60))),(50+(2.3*(E6-60))))</f>
        <v>64.126066399999999</v>
      </c>
      <c r="B6">
        <f>0.4*(B3-A6)+A6</f>
        <v>111.87563984000001</v>
      </c>
      <c r="C6">
        <f>B3/A6</f>
        <v>2.8615508528993447</v>
      </c>
      <c r="D6" t="str">
        <f>IF(AND(A3&gt;65,D3&lt;1),"YES","NO")</f>
        <v>NO</v>
      </c>
      <c r="E6">
        <f>C3*0.393701</f>
        <v>66.141767999999999</v>
      </c>
    </row>
    <row r="7" spans="1:7" x14ac:dyDescent="0.15"/>
    <row r="8" spans="1:7" x14ac:dyDescent="0.15">
      <c r="A8" s="1" t="s">
        <v>18</v>
      </c>
      <c r="B8" s="1" t="s">
        <v>138</v>
      </c>
      <c r="C8" s="1" t="s">
        <v>3</v>
      </c>
      <c r="D8" s="1" t="s">
        <v>20</v>
      </c>
      <c r="E8" s="1" t="s">
        <v>22</v>
      </c>
    </row>
    <row r="9" spans="1:7" x14ac:dyDescent="0.15">
      <c r="A9" s="1" t="s">
        <v>5</v>
      </c>
      <c r="B9" s="1" t="s">
        <v>5</v>
      </c>
      <c r="C9" s="1" t="s">
        <v>5</v>
      </c>
      <c r="D9" s="1" t="s">
        <v>5</v>
      </c>
      <c r="E9" s="1" t="s">
        <v>5</v>
      </c>
    </row>
    <row r="10" spans="1:7" x14ac:dyDescent="0.15">
      <c r="A10">
        <f>IF(E3&lt;=0,((140-A3)*B3)/((72)*(D3)),(0.85*((140-A3)*B3/(72*D3))))</f>
        <v>150.03920250896059</v>
      </c>
      <c r="B10">
        <f>IF(E3&lt;=0,((140-A3)*B6)/((72)*(D3)),(0.85*((140-A3)*B6/(72*D3))))</f>
        <v>91.47537755734767</v>
      </c>
      <c r="C10">
        <f>IF(E3&lt;=0,((140-A3)*A6)/((72)*(D3)),(0.85*((140-A3)*A6/(72*D3))))</f>
        <v>52.432827589605736</v>
      </c>
      <c r="D10">
        <f>IF(E3&lt;=0,((140-A3)*B3)/((72)),(0.85*((140-A3)*B3/(72*1))))</f>
        <v>186.04861111111111</v>
      </c>
      <c r="E10" s="15">
        <f>Patient_Info!B23</f>
        <v>42</v>
      </c>
    </row>
    <row r="11" spans="1:7" x14ac:dyDescent="0.15">
      <c r="A11" s="1" t="s">
        <v>105</v>
      </c>
    </row>
    <row r="12" spans="1:7" x14ac:dyDescent="0.15">
      <c r="A12">
        <f>IF(A10&gt;150,150,A10)</f>
        <v>150</v>
      </c>
      <c r="B12">
        <f>IF(B10&gt;150,150,B10)</f>
        <v>91.47537755734767</v>
      </c>
      <c r="C12">
        <f>IF(C10&gt;150,150,C10)</f>
        <v>52.432827589605736</v>
      </c>
      <c r="D12">
        <f>IF(D10&gt;150,150,D10)</f>
        <v>150</v>
      </c>
      <c r="E12">
        <f>IF(E10&gt;150,150,E10)</f>
        <v>42</v>
      </c>
    </row>
    <row r="13" spans="1:7" x14ac:dyDescent="0.15">
      <c r="A13" s="1" t="s">
        <v>6</v>
      </c>
      <c r="B13" s="1" t="s">
        <v>6</v>
      </c>
      <c r="C13" s="1" t="s">
        <v>6</v>
      </c>
      <c r="D13" s="1" t="s">
        <v>6</v>
      </c>
      <c r="E13" s="1" t="s">
        <v>6</v>
      </c>
    </row>
    <row r="14" spans="1:7" x14ac:dyDescent="0.15">
      <c r="A14">
        <f>(A12*60)/1000</f>
        <v>9</v>
      </c>
      <c r="B14">
        <f>(B12*60)/1000</f>
        <v>5.4885226534408602</v>
      </c>
      <c r="C14">
        <f>(C12*60)/1000</f>
        <v>3.1459696553763443</v>
      </c>
      <c r="D14">
        <f>(D12*60)/1000</f>
        <v>9</v>
      </c>
      <c r="E14">
        <f>(E12*60)/1000</f>
        <v>2.52</v>
      </c>
    </row>
    <row r="15" spans="1:7" x14ac:dyDescent="0.15"/>
    <row r="16" spans="1:7" x14ac:dyDescent="0.15">
      <c r="A16" s="1" t="s">
        <v>23</v>
      </c>
    </row>
    <row r="17" spans="1:7" x14ac:dyDescent="0.15">
      <c r="A17">
        <f>Patient_Info!B25</f>
        <v>2</v>
      </c>
    </row>
    <row r="18" spans="1:7" x14ac:dyDescent="0.15">
      <c r="A18" s="2" t="s">
        <v>66</v>
      </c>
      <c r="B18" s="3"/>
      <c r="C18" s="3"/>
      <c r="D18" s="3"/>
      <c r="E18" s="3"/>
      <c r="F18" s="3"/>
      <c r="G18" s="3"/>
    </row>
    <row r="19" spans="1:7" x14ac:dyDescent="0.15">
      <c r="A19" s="1" t="s">
        <v>123</v>
      </c>
      <c r="B19" s="1" t="s">
        <v>81</v>
      </c>
      <c r="C19" s="1" t="s">
        <v>7</v>
      </c>
      <c r="D19" s="1" t="s">
        <v>8</v>
      </c>
    </row>
    <row r="20" spans="1:7" x14ac:dyDescent="0.15">
      <c r="A20">
        <f>0.7*B3</f>
        <v>128.44999999999999</v>
      </c>
      <c r="B20">
        <f>IF(A17=1,A14*0.75,IF(A17=2,B14*0.75,IF(A17=3,C14*0.75,IF(A17=4,D14*0.75,IF(A17=5,E14*0.75)))))</f>
        <v>4.1163919900806452</v>
      </c>
      <c r="C20">
        <f>B20/A20</f>
        <v>3.2046648424138929E-2</v>
      </c>
      <c r="D20">
        <f>0.693/C20</f>
        <v>21.62472626866035</v>
      </c>
    </row>
    <row r="21" spans="1:7" x14ac:dyDescent="0.15"/>
    <row r="22" spans="1:7" x14ac:dyDescent="0.15">
      <c r="A22" s="1" t="s">
        <v>24</v>
      </c>
      <c r="B22" s="1" t="s">
        <v>25</v>
      </c>
      <c r="C22" s="1" t="s">
        <v>9</v>
      </c>
      <c r="D22" s="1" t="s">
        <v>12</v>
      </c>
      <c r="E22" s="1" t="s">
        <v>13</v>
      </c>
      <c r="F22" s="1" t="s">
        <v>14</v>
      </c>
      <c r="G22" s="1"/>
    </row>
    <row r="23" spans="1:7" x14ac:dyDescent="0.15">
      <c r="A23">
        <f>IF(D20&lt;6,6,IF(AND(D20&gt;6,D20&lt;=10),8,IF(AND(D20&gt;10,D20&lt;=18),12,IF(D20&gt;18,24))))</f>
        <v>24</v>
      </c>
      <c r="B23">
        <f>Vanco_InitialDose!B6</f>
        <v>12</v>
      </c>
      <c r="C23">
        <v>15</v>
      </c>
      <c r="D23">
        <f>-1*(C20*B23)</f>
        <v>-0.38455978108966715</v>
      </c>
      <c r="E23">
        <f>E26+1</f>
        <v>2</v>
      </c>
      <c r="F23">
        <f>(C20*-E23)</f>
        <v>-6.4093296848277859E-2</v>
      </c>
    </row>
    <row r="24" spans="1:7" x14ac:dyDescent="0.15"/>
    <row r="25" spans="1:7" x14ac:dyDescent="0.15">
      <c r="A25" s="1" t="s">
        <v>10</v>
      </c>
      <c r="B25" s="1" t="s">
        <v>11</v>
      </c>
      <c r="C25" s="1" t="s">
        <v>79</v>
      </c>
      <c r="D25" s="1" t="s">
        <v>80</v>
      </c>
      <c r="E25" s="1" t="s">
        <v>89</v>
      </c>
    </row>
    <row r="26" spans="1:7" x14ac:dyDescent="0.15">
      <c r="A26">
        <f>((C23*A20)*(1-EXP(D23))) / EXP(D23)</f>
        <v>903.58315337088504</v>
      </c>
      <c r="B26">
        <f>Vanco_InitialDose!B9</f>
        <v>1000</v>
      </c>
      <c r="C26">
        <f>((B26/A20)*EXP(F23))/(1-EXP(D23))</f>
        <v>22.871779715954023</v>
      </c>
      <c r="D26">
        <f>((B26/A20)*EXP(D23))/(1-EXP(D23))</f>
        <v>16.600575103731593</v>
      </c>
      <c r="E26">
        <f>IF(B26&lt;=1000,1,IF(B26=1500,1.5,IF(B26=2000,2)))</f>
        <v>1</v>
      </c>
    </row>
    <row r="27" spans="1:7" x14ac:dyDescent="0.15"/>
    <row r="28" spans="1:7" x14ac:dyDescent="0.15">
      <c r="A28" s="1" t="s">
        <v>21</v>
      </c>
      <c r="B28" s="1" t="s">
        <v>16</v>
      </c>
      <c r="C28" s="1" t="s">
        <v>26</v>
      </c>
      <c r="D28" s="1" t="s">
        <v>28</v>
      </c>
      <c r="E28" s="1" t="s">
        <v>27</v>
      </c>
      <c r="F28" s="1" t="s">
        <v>29</v>
      </c>
    </row>
    <row r="29" spans="1:7" x14ac:dyDescent="0.15">
      <c r="A29">
        <f>(B26*(24/B23))</f>
        <v>2000</v>
      </c>
      <c r="B29">
        <f>A29/B20</f>
        <v>485.86237773745586</v>
      </c>
      <c r="C29">
        <v>35</v>
      </c>
      <c r="D29">
        <f>C29*A20</f>
        <v>4495.75</v>
      </c>
      <c r="E29">
        <v>2000</v>
      </c>
      <c r="F29">
        <f>E29/A20</f>
        <v>15.570260801868432</v>
      </c>
    </row>
    <row r="30" spans="1:7" x14ac:dyDescent="0.15"/>
    <row r="31" spans="1:7" x14ac:dyDescent="0.15">
      <c r="A31" s="23" t="s">
        <v>76</v>
      </c>
      <c r="B31" s="13"/>
      <c r="C31" s="13"/>
      <c r="D31" s="13"/>
      <c r="E31" s="13"/>
      <c r="F31" s="13"/>
      <c r="G31" s="13"/>
    </row>
    <row r="32" spans="1:7" x14ac:dyDescent="0.15">
      <c r="A32" s="1" t="s">
        <v>70</v>
      </c>
      <c r="B32" s="1" t="s">
        <v>71</v>
      </c>
      <c r="C32" t="s">
        <v>73</v>
      </c>
    </row>
    <row r="33" spans="1:7" x14ac:dyDescent="0.15">
      <c r="A33">
        <f>Vanco_DoseRevisionTrough!B6</f>
        <v>12</v>
      </c>
      <c r="B33">
        <f>Vanco_DoseRevisionTrough!B11</f>
        <v>8.8000000000000007</v>
      </c>
      <c r="C33">
        <f>(B33+(Vanco_DoseRevisionTrough!B5/A20))/B33</f>
        <v>1.4423369545985349</v>
      </c>
    </row>
    <row r="34" spans="1:7" x14ac:dyDescent="0.15"/>
    <row r="35" spans="1:7" x14ac:dyDescent="0.15">
      <c r="A35" s="1" t="s">
        <v>7</v>
      </c>
      <c r="B35" s="1" t="s">
        <v>8</v>
      </c>
      <c r="C35" s="1" t="s">
        <v>81</v>
      </c>
    </row>
    <row r="36" spans="1:7" x14ac:dyDescent="0.15">
      <c r="A36">
        <f>LN(C33)/A33</f>
        <v>3.052205693922706E-2</v>
      </c>
      <c r="B36">
        <f>0.693/A36</f>
        <v>22.704891789561987</v>
      </c>
      <c r="C36">
        <f>A36*A20</f>
        <v>3.9205582138437154</v>
      </c>
    </row>
    <row r="37" spans="1:7" x14ac:dyDescent="0.15"/>
    <row r="38" spans="1:7" x14ac:dyDescent="0.15">
      <c r="A38" s="1" t="s">
        <v>24</v>
      </c>
      <c r="B38" s="1" t="s">
        <v>77</v>
      </c>
      <c r="C38" s="1" t="s">
        <v>78</v>
      </c>
      <c r="D38" s="1" t="s">
        <v>12</v>
      </c>
      <c r="E38" s="1" t="s">
        <v>13</v>
      </c>
      <c r="F38" s="1" t="s">
        <v>14</v>
      </c>
    </row>
    <row r="39" spans="1:7" x14ac:dyDescent="0.15">
      <c r="A39">
        <f>IF(B36&lt;6,6,IF(AND(B36&gt;6,B36&lt;=10),8,IF(AND(B36&gt;10,B36&lt;=18),12,IF(B36&gt;18,24))))</f>
        <v>24</v>
      </c>
      <c r="B39">
        <f>Vanco_DoseRevisionTrough!B15</f>
        <v>12</v>
      </c>
      <c r="C39">
        <v>15</v>
      </c>
      <c r="D39">
        <f>-1*(A36*B39)</f>
        <v>-0.3662646832707247</v>
      </c>
      <c r="E39">
        <f>E26+1</f>
        <v>2</v>
      </c>
      <c r="F39">
        <f>(A36*-E39)</f>
        <v>-6.1044113878454119E-2</v>
      </c>
    </row>
    <row r="40" spans="1:7" x14ac:dyDescent="0.15"/>
    <row r="41" spans="1:7" x14ac:dyDescent="0.15">
      <c r="A41" s="1" t="s">
        <v>10</v>
      </c>
      <c r="B41" s="1" t="s">
        <v>11</v>
      </c>
      <c r="C41" s="1" t="s">
        <v>79</v>
      </c>
      <c r="D41" s="1" t="s">
        <v>80</v>
      </c>
    </row>
    <row r="42" spans="1:7" x14ac:dyDescent="0.15">
      <c r="A42">
        <f>((C39*A20)*(1-EXP(D39))) / EXP(D39)</f>
        <v>852.27272727272725</v>
      </c>
      <c r="B42">
        <f>Vanco_DoseRevisionTrough!B18</f>
        <v>750</v>
      </c>
      <c r="C42">
        <f>((B42/A20)*EXP(F39))/(1-EXP(D39))</f>
        <v>17.911400310692947</v>
      </c>
      <c r="D42">
        <f>((B42/A20)*EXP(D39))/(1-EXP(D39))</f>
        <v>13.200000000000001</v>
      </c>
    </row>
    <row r="43" spans="1:7" x14ac:dyDescent="0.15"/>
    <row r="44" spans="1:7" x14ac:dyDescent="0.15">
      <c r="A44" s="1" t="s">
        <v>21</v>
      </c>
      <c r="B44" s="1" t="s">
        <v>16</v>
      </c>
      <c r="C44" s="1" t="s">
        <v>26</v>
      </c>
      <c r="D44" s="1" t="s">
        <v>27</v>
      </c>
    </row>
    <row r="45" spans="1:7" x14ac:dyDescent="0.15">
      <c r="A45">
        <f>(B42*(24/B39))</f>
        <v>1500</v>
      </c>
      <c r="B45">
        <f>A45/C36</f>
        <v>382.59857861653836</v>
      </c>
      <c r="C45">
        <v>35</v>
      </c>
      <c r="D45">
        <f>(C45-B33)*A20</f>
        <v>3365.3899999999994</v>
      </c>
    </row>
    <row r="46" spans="1:7" x14ac:dyDescent="0.15"/>
    <row r="47" spans="1:7" x14ac:dyDescent="0.15">
      <c r="A47" s="23" t="s">
        <v>85</v>
      </c>
      <c r="B47" s="13"/>
      <c r="C47" s="13"/>
      <c r="D47" s="13"/>
      <c r="E47" s="13"/>
      <c r="F47" s="13"/>
      <c r="G47" s="13"/>
    </row>
    <row r="48" spans="1:7" x14ac:dyDescent="0.15">
      <c r="A48" s="1" t="s">
        <v>86</v>
      </c>
      <c r="B48" s="1" t="s">
        <v>125</v>
      </c>
      <c r="C48" s="1" t="s">
        <v>70</v>
      </c>
      <c r="D48" s="1" t="s">
        <v>126</v>
      </c>
      <c r="E48" s="1" t="s">
        <v>87</v>
      </c>
      <c r="F48" s="1" t="s">
        <v>90</v>
      </c>
      <c r="G48" s="1" t="s">
        <v>92</v>
      </c>
    </row>
    <row r="49" spans="1:7" x14ac:dyDescent="0.15">
      <c r="A49">
        <f>Vanco_DoseRevisionTwoLevels!B9</f>
        <v>44.7</v>
      </c>
      <c r="B49">
        <f>Vanco_DoseRevisionTwoLevels!B10</f>
        <v>1</v>
      </c>
      <c r="C49">
        <f>Vanco_DoseRevisionTwoLevels!B11</f>
        <v>8.25</v>
      </c>
      <c r="D49">
        <f>Vanco_DoseRevisionTwoLevels!B13</f>
        <v>0.5</v>
      </c>
      <c r="E49">
        <f>Vanco_DoseRevisionTwoLevels!B12</f>
        <v>25.9</v>
      </c>
      <c r="F49">
        <f>(A49)/(EXP((A52)*-B49))</f>
        <v>47.75685692421311</v>
      </c>
      <c r="G49">
        <f>(E49)/(EXP((A52)*-D49))</f>
        <v>26.770955409586882</v>
      </c>
    </row>
    <row r="50" spans="1:7" x14ac:dyDescent="0.15"/>
    <row r="51" spans="1:7" x14ac:dyDescent="0.15">
      <c r="A51" s="1" t="s">
        <v>7</v>
      </c>
      <c r="B51" s="1" t="s">
        <v>8</v>
      </c>
      <c r="C51" s="1" t="s">
        <v>81</v>
      </c>
      <c r="D51" s="1" t="s">
        <v>88</v>
      </c>
    </row>
    <row r="52" spans="1:7" x14ac:dyDescent="0.15">
      <c r="A52">
        <f>(LN(A49/E49))/C49</f>
        <v>6.614915550473105E-2</v>
      </c>
      <c r="B52">
        <f>0.693/A52</f>
        <v>10.476324220804843</v>
      </c>
      <c r="C52">
        <f>D52*A52</f>
        <v>2.8198338799015015</v>
      </c>
      <c r="D52">
        <f>((B26/E26)*(1-(EXP(A52*-E26)))/(A52*(F49-(G49*(EXP(A52*-E26))))))</f>
        <v>42.628418433850214</v>
      </c>
    </row>
    <row r="53" spans="1:7" x14ac:dyDescent="0.15"/>
    <row r="54" spans="1:7" x14ac:dyDescent="0.15">
      <c r="A54" s="1" t="s">
        <v>24</v>
      </c>
      <c r="B54" s="1" t="s">
        <v>77</v>
      </c>
      <c r="C54" s="1" t="s">
        <v>78</v>
      </c>
      <c r="D54" s="1" t="s">
        <v>12</v>
      </c>
      <c r="E54" s="1" t="s">
        <v>13</v>
      </c>
      <c r="F54" s="1" t="s">
        <v>14</v>
      </c>
    </row>
    <row r="55" spans="1:7" x14ac:dyDescent="0.15">
      <c r="A55">
        <f>IF(B52&lt;6,6,IF(AND(B52&gt;6,B52&lt;=10),8,IF(AND(B52&gt;10,B52&lt;=18),12,IF(B52&gt;18,24))))</f>
        <v>12</v>
      </c>
      <c r="B55">
        <f>Vanco_DoseRevisionTwoLevels!B17</f>
        <v>12</v>
      </c>
      <c r="C55">
        <v>15</v>
      </c>
      <c r="D55">
        <f>-1*(A52*B55)</f>
        <v>-0.7937898660567726</v>
      </c>
      <c r="E55">
        <f>E26+1</f>
        <v>2</v>
      </c>
      <c r="F55">
        <f>(A52*-E55)</f>
        <v>-0.1322983110094621</v>
      </c>
    </row>
    <row r="56" spans="1:7" x14ac:dyDescent="0.15"/>
    <row r="57" spans="1:7" x14ac:dyDescent="0.15">
      <c r="A57" s="1" t="s">
        <v>10</v>
      </c>
      <c r="B57" s="1" t="s">
        <v>11</v>
      </c>
      <c r="C57" s="1" t="s">
        <v>79</v>
      </c>
      <c r="D57" s="1" t="s">
        <v>80</v>
      </c>
    </row>
    <row r="58" spans="1:7" x14ac:dyDescent="0.15">
      <c r="A58">
        <f>((C55*D52)*(1-EXP(D55))) / EXP(D55)</f>
        <v>774.83300550753177</v>
      </c>
      <c r="B58">
        <f>Vanco_DoseRevisionTwoLevels!B20</f>
        <v>750</v>
      </c>
      <c r="C58">
        <f>((B58/D52)*EXP(F55))/(1-EXP(D55))</f>
        <v>28.133679948703673</v>
      </c>
      <c r="D58">
        <f>((B58/D52)*EXP(D55))/(1-EXP(D55))</f>
        <v>14.519257594907195</v>
      </c>
    </row>
    <row r="59" spans="1:7" x14ac:dyDescent="0.15"/>
    <row r="60" spans="1:7" x14ac:dyDescent="0.15">
      <c r="A60" s="1" t="s">
        <v>21</v>
      </c>
      <c r="B60" s="1" t="s">
        <v>16</v>
      </c>
      <c r="C60" s="1" t="s">
        <v>26</v>
      </c>
      <c r="D60" s="1" t="s">
        <v>27</v>
      </c>
    </row>
    <row r="61" spans="1:7" x14ac:dyDescent="0.15">
      <c r="A61">
        <f>(B58*(24/B55))</f>
        <v>1500</v>
      </c>
      <c r="B61">
        <f>A61/C52</f>
        <v>531.94622941844921</v>
      </c>
      <c r="C61">
        <v>35</v>
      </c>
      <c r="D61">
        <f>(C61-E49)*D52</f>
        <v>387.918607748037</v>
      </c>
    </row>
    <row r="62" spans="1:7" x14ac:dyDescent="0.15"/>
  </sheetData>
  <phoneticPr fontId="3" type="noConversion"/>
  <pageMargins left="0.75" right="0.75" top="1" bottom="1" header="0.5" footer="0.5"/>
  <pageSetup orientation="portrait" horizontalDpi="1200" verticalDpi="12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E3D7-EFA0-CB4D-9CD1-A0423C4F4C6D}">
  <dimension ref="A1:E7"/>
  <sheetViews>
    <sheetView workbookViewId="0">
      <selection activeCell="E3" sqref="E3"/>
    </sheetView>
  </sheetViews>
  <sheetFormatPr baseColWidth="10" defaultColWidth="11.5" defaultRowHeight="13" x14ac:dyDescent="0.15"/>
  <sheetData>
    <row r="1" spans="1:5" x14ac:dyDescent="0.15">
      <c r="A1" t="s">
        <v>100</v>
      </c>
      <c r="B1">
        <v>1</v>
      </c>
      <c r="C1">
        <v>6</v>
      </c>
      <c r="D1">
        <v>250</v>
      </c>
      <c r="E1" t="s">
        <v>102</v>
      </c>
    </row>
    <row r="2" spans="1:5" x14ac:dyDescent="0.15">
      <c r="A2" t="s">
        <v>101</v>
      </c>
      <c r="B2">
        <v>2</v>
      </c>
      <c r="C2">
        <v>8</v>
      </c>
      <c r="D2">
        <v>500</v>
      </c>
      <c r="E2" t="s">
        <v>103</v>
      </c>
    </row>
    <row r="3" spans="1:5" x14ac:dyDescent="0.15">
      <c r="B3">
        <v>3</v>
      </c>
      <c r="C3">
        <v>12</v>
      </c>
      <c r="D3">
        <v>750</v>
      </c>
    </row>
    <row r="4" spans="1:5" x14ac:dyDescent="0.15">
      <c r="B4">
        <v>4</v>
      </c>
      <c r="C4">
        <v>24</v>
      </c>
      <c r="D4">
        <v>1000</v>
      </c>
    </row>
    <row r="5" spans="1:5" x14ac:dyDescent="0.15">
      <c r="B5">
        <v>5</v>
      </c>
      <c r="D5">
        <v>1250</v>
      </c>
    </row>
    <row r="6" spans="1:5" x14ac:dyDescent="0.15">
      <c r="D6">
        <v>1500</v>
      </c>
    </row>
    <row r="7" spans="1:5" x14ac:dyDescent="0.15">
      <c r="D7">
        <v>2000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90D3-F3AF-4249-8C8C-ED0165B7233B}">
  <dimension ref="A2:B29"/>
  <sheetViews>
    <sheetView workbookViewId="0">
      <selection activeCell="E3" sqref="E3"/>
    </sheetView>
  </sheetViews>
  <sheetFormatPr baseColWidth="10" defaultColWidth="8.83203125" defaultRowHeight="13" x14ac:dyDescent="0.15"/>
  <sheetData>
    <row r="2" spans="1:2" x14ac:dyDescent="0.15">
      <c r="A2">
        <v>24</v>
      </c>
      <c r="B2">
        <v>250</v>
      </c>
    </row>
    <row r="3" spans="1:2" x14ac:dyDescent="0.15">
      <c r="A3">
        <v>24</v>
      </c>
      <c r="B3">
        <v>500</v>
      </c>
    </row>
    <row r="4" spans="1:2" x14ac:dyDescent="0.15">
      <c r="A4">
        <v>24</v>
      </c>
      <c r="B4">
        <v>750</v>
      </c>
    </row>
    <row r="5" spans="1:2" x14ac:dyDescent="0.15">
      <c r="A5">
        <v>24</v>
      </c>
      <c r="B5">
        <v>1000</v>
      </c>
    </row>
    <row r="6" spans="1:2" x14ac:dyDescent="0.15">
      <c r="A6">
        <v>24</v>
      </c>
      <c r="B6">
        <v>1250</v>
      </c>
    </row>
    <row r="7" spans="1:2" x14ac:dyDescent="0.15">
      <c r="A7">
        <v>24</v>
      </c>
      <c r="B7">
        <v>1500</v>
      </c>
    </row>
    <row r="8" spans="1:2" x14ac:dyDescent="0.15">
      <c r="A8">
        <v>24</v>
      </c>
      <c r="B8">
        <v>2000</v>
      </c>
    </row>
    <row r="9" spans="1:2" x14ac:dyDescent="0.15">
      <c r="A9">
        <v>12</v>
      </c>
      <c r="B9">
        <v>250</v>
      </c>
    </row>
    <row r="10" spans="1:2" x14ac:dyDescent="0.15">
      <c r="A10">
        <v>12</v>
      </c>
      <c r="B10">
        <v>500</v>
      </c>
    </row>
    <row r="11" spans="1:2" x14ac:dyDescent="0.15">
      <c r="A11">
        <v>12</v>
      </c>
      <c r="B11">
        <v>750</v>
      </c>
    </row>
    <row r="12" spans="1:2" x14ac:dyDescent="0.15">
      <c r="A12">
        <v>12</v>
      </c>
      <c r="B12">
        <v>1000</v>
      </c>
    </row>
    <row r="13" spans="1:2" x14ac:dyDescent="0.15">
      <c r="A13">
        <v>12</v>
      </c>
      <c r="B13">
        <v>1250</v>
      </c>
    </row>
    <row r="14" spans="1:2" x14ac:dyDescent="0.15">
      <c r="A14">
        <v>12</v>
      </c>
      <c r="B14">
        <v>1500</v>
      </c>
    </row>
    <row r="15" spans="1:2" x14ac:dyDescent="0.15">
      <c r="A15">
        <v>12</v>
      </c>
      <c r="B15">
        <v>2000</v>
      </c>
    </row>
    <row r="16" spans="1:2" x14ac:dyDescent="0.15">
      <c r="A16">
        <v>8</v>
      </c>
      <c r="B16">
        <v>250</v>
      </c>
    </row>
    <row r="17" spans="1:2" x14ac:dyDescent="0.15">
      <c r="A17">
        <v>8</v>
      </c>
      <c r="B17">
        <v>500</v>
      </c>
    </row>
    <row r="18" spans="1:2" x14ac:dyDescent="0.15">
      <c r="A18">
        <v>8</v>
      </c>
      <c r="B18">
        <v>750</v>
      </c>
    </row>
    <row r="19" spans="1:2" x14ac:dyDescent="0.15">
      <c r="A19">
        <v>8</v>
      </c>
      <c r="B19">
        <v>1000</v>
      </c>
    </row>
    <row r="20" spans="1:2" x14ac:dyDescent="0.15">
      <c r="A20">
        <v>8</v>
      </c>
      <c r="B20">
        <v>1250</v>
      </c>
    </row>
    <row r="21" spans="1:2" x14ac:dyDescent="0.15">
      <c r="A21">
        <v>8</v>
      </c>
      <c r="B21">
        <v>1500</v>
      </c>
    </row>
    <row r="22" spans="1:2" x14ac:dyDescent="0.15">
      <c r="A22">
        <v>8</v>
      </c>
      <c r="B22">
        <v>2000</v>
      </c>
    </row>
    <row r="23" spans="1:2" x14ac:dyDescent="0.15">
      <c r="A23">
        <v>6</v>
      </c>
      <c r="B23">
        <v>250</v>
      </c>
    </row>
    <row r="24" spans="1:2" x14ac:dyDescent="0.15">
      <c r="A24">
        <v>6</v>
      </c>
      <c r="B24">
        <v>500</v>
      </c>
    </row>
    <row r="25" spans="1:2" x14ac:dyDescent="0.15">
      <c r="A25">
        <v>6</v>
      </c>
      <c r="B25">
        <v>750</v>
      </c>
    </row>
    <row r="26" spans="1:2" x14ac:dyDescent="0.15">
      <c r="A26">
        <v>6</v>
      </c>
      <c r="B26">
        <v>1000</v>
      </c>
    </row>
    <row r="27" spans="1:2" x14ac:dyDescent="0.15">
      <c r="A27">
        <v>6</v>
      </c>
      <c r="B27">
        <v>1250</v>
      </c>
    </row>
    <row r="28" spans="1:2" x14ac:dyDescent="0.15">
      <c r="A28">
        <v>6</v>
      </c>
      <c r="B28">
        <v>1500</v>
      </c>
    </row>
    <row r="29" spans="1:2" x14ac:dyDescent="0.15">
      <c r="A29">
        <v>6</v>
      </c>
      <c r="B29">
        <v>2000</v>
      </c>
    </row>
  </sheetData>
  <phoneticPr fontId="3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E1D9-8272-6D49-8EA5-5237E273EC63}">
  <dimension ref="A1:D131"/>
  <sheetViews>
    <sheetView topLeftCell="A35" workbookViewId="0">
      <selection activeCell="E3" sqref="E3"/>
    </sheetView>
  </sheetViews>
  <sheetFormatPr baseColWidth="10" defaultColWidth="8.83203125" defaultRowHeight="13" x14ac:dyDescent="0.15"/>
  <sheetData>
    <row r="1" spans="1:4" x14ac:dyDescent="0.15">
      <c r="A1">
        <v>45</v>
      </c>
      <c r="B1">
        <v>10</v>
      </c>
      <c r="C1">
        <v>250</v>
      </c>
      <c r="D1">
        <v>6</v>
      </c>
    </row>
    <row r="2" spans="1:4" x14ac:dyDescent="0.15">
      <c r="A2">
        <v>46</v>
      </c>
      <c r="B2">
        <v>11</v>
      </c>
      <c r="C2">
        <v>500</v>
      </c>
      <c r="D2">
        <v>8</v>
      </c>
    </row>
    <row r="3" spans="1:4" x14ac:dyDescent="0.15">
      <c r="A3">
        <v>47</v>
      </c>
      <c r="B3">
        <v>12</v>
      </c>
      <c r="C3">
        <v>750</v>
      </c>
      <c r="D3">
        <v>12</v>
      </c>
    </row>
    <row r="4" spans="1:4" x14ac:dyDescent="0.15">
      <c r="A4">
        <v>48</v>
      </c>
      <c r="B4">
        <v>13</v>
      </c>
      <c r="C4">
        <v>1000</v>
      </c>
      <c r="D4">
        <v>24</v>
      </c>
    </row>
    <row r="5" spans="1:4" x14ac:dyDescent="0.15">
      <c r="A5">
        <v>49</v>
      </c>
      <c r="B5">
        <v>14</v>
      </c>
      <c r="C5">
        <v>1250</v>
      </c>
    </row>
    <row r="6" spans="1:4" x14ac:dyDescent="0.15">
      <c r="A6">
        <v>50</v>
      </c>
      <c r="B6">
        <v>15</v>
      </c>
      <c r="C6">
        <v>1500</v>
      </c>
    </row>
    <row r="7" spans="1:4" x14ac:dyDescent="0.15">
      <c r="A7">
        <v>51</v>
      </c>
      <c r="B7">
        <v>16</v>
      </c>
      <c r="C7">
        <v>2000</v>
      </c>
    </row>
    <row r="8" spans="1:4" x14ac:dyDescent="0.15">
      <c r="A8">
        <v>52</v>
      </c>
      <c r="B8">
        <v>17</v>
      </c>
    </row>
    <row r="9" spans="1:4" x14ac:dyDescent="0.15">
      <c r="A9">
        <v>53</v>
      </c>
      <c r="B9">
        <v>18</v>
      </c>
    </row>
    <row r="10" spans="1:4" x14ac:dyDescent="0.15">
      <c r="A10">
        <v>54</v>
      </c>
      <c r="B10">
        <v>19</v>
      </c>
    </row>
    <row r="11" spans="1:4" x14ac:dyDescent="0.15">
      <c r="A11">
        <v>55</v>
      </c>
      <c r="B11">
        <v>20</v>
      </c>
    </row>
    <row r="12" spans="1:4" x14ac:dyDescent="0.15">
      <c r="A12">
        <v>56</v>
      </c>
      <c r="B12">
        <v>21</v>
      </c>
    </row>
    <row r="13" spans="1:4" x14ac:dyDescent="0.15">
      <c r="A13">
        <v>57</v>
      </c>
      <c r="B13">
        <v>22</v>
      </c>
    </row>
    <row r="14" spans="1:4" x14ac:dyDescent="0.15">
      <c r="A14">
        <v>58</v>
      </c>
      <c r="B14">
        <v>23</v>
      </c>
    </row>
    <row r="15" spans="1:4" x14ac:dyDescent="0.15">
      <c r="A15">
        <v>59</v>
      </c>
      <c r="B15">
        <v>24</v>
      </c>
    </row>
    <row r="16" spans="1:4" x14ac:dyDescent="0.15">
      <c r="A16">
        <v>60</v>
      </c>
      <c r="B16">
        <v>25</v>
      </c>
    </row>
    <row r="17" spans="1:2" x14ac:dyDescent="0.15">
      <c r="A17">
        <v>61</v>
      </c>
      <c r="B17">
        <v>26</v>
      </c>
    </row>
    <row r="18" spans="1:2" x14ac:dyDescent="0.15">
      <c r="A18">
        <v>62</v>
      </c>
      <c r="B18">
        <v>27</v>
      </c>
    </row>
    <row r="19" spans="1:2" x14ac:dyDescent="0.15">
      <c r="A19">
        <v>63</v>
      </c>
      <c r="B19">
        <v>28</v>
      </c>
    </row>
    <row r="20" spans="1:2" x14ac:dyDescent="0.15">
      <c r="A20">
        <v>64</v>
      </c>
      <c r="B20">
        <v>29</v>
      </c>
    </row>
    <row r="21" spans="1:2" x14ac:dyDescent="0.15">
      <c r="A21">
        <v>65</v>
      </c>
      <c r="B21">
        <v>30</v>
      </c>
    </row>
    <row r="22" spans="1:2" x14ac:dyDescent="0.15">
      <c r="A22">
        <v>66</v>
      </c>
      <c r="B22">
        <v>31</v>
      </c>
    </row>
    <row r="23" spans="1:2" x14ac:dyDescent="0.15">
      <c r="A23">
        <v>67</v>
      </c>
      <c r="B23">
        <v>32</v>
      </c>
    </row>
    <row r="24" spans="1:2" x14ac:dyDescent="0.15">
      <c r="A24">
        <v>68</v>
      </c>
      <c r="B24">
        <v>33</v>
      </c>
    </row>
    <row r="25" spans="1:2" x14ac:dyDescent="0.15">
      <c r="A25">
        <v>69</v>
      </c>
      <c r="B25">
        <v>34</v>
      </c>
    </row>
    <row r="26" spans="1:2" x14ac:dyDescent="0.15">
      <c r="A26">
        <v>70</v>
      </c>
      <c r="B26">
        <v>35</v>
      </c>
    </row>
    <row r="27" spans="1:2" x14ac:dyDescent="0.15">
      <c r="A27">
        <v>71</v>
      </c>
      <c r="B27">
        <v>36</v>
      </c>
    </row>
    <row r="28" spans="1:2" x14ac:dyDescent="0.15">
      <c r="A28">
        <v>72</v>
      </c>
      <c r="B28">
        <v>37</v>
      </c>
    </row>
    <row r="29" spans="1:2" x14ac:dyDescent="0.15">
      <c r="A29">
        <v>73</v>
      </c>
      <c r="B29">
        <v>38</v>
      </c>
    </row>
    <row r="30" spans="1:2" x14ac:dyDescent="0.15">
      <c r="A30">
        <v>74</v>
      </c>
      <c r="B30">
        <v>39</v>
      </c>
    </row>
    <row r="31" spans="1:2" x14ac:dyDescent="0.15">
      <c r="A31">
        <v>75</v>
      </c>
      <c r="B31">
        <v>40</v>
      </c>
    </row>
    <row r="32" spans="1:2" x14ac:dyDescent="0.15">
      <c r="A32">
        <v>76</v>
      </c>
      <c r="B32">
        <v>41</v>
      </c>
    </row>
    <row r="33" spans="1:2" x14ac:dyDescent="0.15">
      <c r="A33">
        <v>77</v>
      </c>
      <c r="B33">
        <v>42</v>
      </c>
    </row>
    <row r="34" spans="1:2" x14ac:dyDescent="0.15">
      <c r="A34">
        <v>78</v>
      </c>
      <c r="B34">
        <v>43</v>
      </c>
    </row>
    <row r="35" spans="1:2" x14ac:dyDescent="0.15">
      <c r="A35">
        <v>79</v>
      </c>
      <c r="B35">
        <v>44</v>
      </c>
    </row>
    <row r="36" spans="1:2" x14ac:dyDescent="0.15">
      <c r="A36">
        <v>80</v>
      </c>
      <c r="B36">
        <v>45</v>
      </c>
    </row>
    <row r="37" spans="1:2" x14ac:dyDescent="0.15">
      <c r="A37">
        <v>81</v>
      </c>
      <c r="B37">
        <v>46</v>
      </c>
    </row>
    <row r="38" spans="1:2" x14ac:dyDescent="0.15">
      <c r="A38">
        <v>82</v>
      </c>
      <c r="B38">
        <v>47</v>
      </c>
    </row>
    <row r="39" spans="1:2" x14ac:dyDescent="0.15">
      <c r="A39">
        <v>83</v>
      </c>
      <c r="B39">
        <v>48</v>
      </c>
    </row>
    <row r="40" spans="1:2" x14ac:dyDescent="0.15">
      <c r="A40">
        <v>84</v>
      </c>
      <c r="B40">
        <v>49</v>
      </c>
    </row>
    <row r="41" spans="1:2" x14ac:dyDescent="0.15">
      <c r="A41">
        <v>85</v>
      </c>
      <c r="B41">
        <v>50</v>
      </c>
    </row>
    <row r="42" spans="1:2" x14ac:dyDescent="0.15">
      <c r="A42">
        <v>86</v>
      </c>
      <c r="B42">
        <v>51</v>
      </c>
    </row>
    <row r="43" spans="1:2" x14ac:dyDescent="0.15">
      <c r="A43">
        <v>87</v>
      </c>
      <c r="B43">
        <v>52</v>
      </c>
    </row>
    <row r="44" spans="1:2" x14ac:dyDescent="0.15">
      <c r="A44">
        <v>88</v>
      </c>
      <c r="B44">
        <v>53</v>
      </c>
    </row>
    <row r="45" spans="1:2" x14ac:dyDescent="0.15">
      <c r="A45">
        <v>89</v>
      </c>
      <c r="B45">
        <v>54</v>
      </c>
    </row>
    <row r="46" spans="1:2" x14ac:dyDescent="0.15">
      <c r="A46">
        <v>90</v>
      </c>
      <c r="B46">
        <v>55</v>
      </c>
    </row>
    <row r="47" spans="1:2" x14ac:dyDescent="0.15">
      <c r="A47">
        <v>91</v>
      </c>
      <c r="B47">
        <v>56</v>
      </c>
    </row>
    <row r="48" spans="1:2" x14ac:dyDescent="0.15">
      <c r="A48">
        <v>92</v>
      </c>
      <c r="B48">
        <v>57</v>
      </c>
    </row>
    <row r="49" spans="1:2" x14ac:dyDescent="0.15">
      <c r="A49">
        <v>93</v>
      </c>
      <c r="B49">
        <v>58</v>
      </c>
    </row>
    <row r="50" spans="1:2" x14ac:dyDescent="0.15">
      <c r="A50">
        <v>94</v>
      </c>
      <c r="B50">
        <v>59</v>
      </c>
    </row>
    <row r="51" spans="1:2" x14ac:dyDescent="0.15">
      <c r="A51">
        <v>95</v>
      </c>
      <c r="B51">
        <v>60</v>
      </c>
    </row>
    <row r="52" spans="1:2" x14ac:dyDescent="0.15">
      <c r="A52">
        <v>96</v>
      </c>
      <c r="B52">
        <v>61</v>
      </c>
    </row>
    <row r="53" spans="1:2" x14ac:dyDescent="0.15">
      <c r="A53">
        <v>97</v>
      </c>
      <c r="B53">
        <v>62</v>
      </c>
    </row>
    <row r="54" spans="1:2" x14ac:dyDescent="0.15">
      <c r="A54">
        <v>98</v>
      </c>
      <c r="B54">
        <v>63</v>
      </c>
    </row>
    <row r="55" spans="1:2" x14ac:dyDescent="0.15">
      <c r="A55">
        <v>99</v>
      </c>
      <c r="B55">
        <v>64</v>
      </c>
    </row>
    <row r="56" spans="1:2" x14ac:dyDescent="0.15">
      <c r="A56">
        <v>100</v>
      </c>
      <c r="B56">
        <v>65</v>
      </c>
    </row>
    <row r="57" spans="1:2" x14ac:dyDescent="0.15">
      <c r="A57">
        <v>101</v>
      </c>
      <c r="B57">
        <v>66</v>
      </c>
    </row>
    <row r="58" spans="1:2" x14ac:dyDescent="0.15">
      <c r="A58">
        <v>102</v>
      </c>
      <c r="B58">
        <v>67</v>
      </c>
    </row>
    <row r="59" spans="1:2" x14ac:dyDescent="0.15">
      <c r="A59">
        <v>103</v>
      </c>
      <c r="B59">
        <v>68</v>
      </c>
    </row>
    <row r="60" spans="1:2" x14ac:dyDescent="0.15">
      <c r="A60">
        <v>104</v>
      </c>
      <c r="B60">
        <v>69</v>
      </c>
    </row>
    <row r="61" spans="1:2" x14ac:dyDescent="0.15">
      <c r="A61">
        <v>105</v>
      </c>
      <c r="B61">
        <v>70</v>
      </c>
    </row>
    <row r="62" spans="1:2" x14ac:dyDescent="0.15">
      <c r="A62">
        <v>106</v>
      </c>
      <c r="B62">
        <v>71</v>
      </c>
    </row>
    <row r="63" spans="1:2" x14ac:dyDescent="0.15">
      <c r="A63">
        <v>107</v>
      </c>
      <c r="B63">
        <v>72</v>
      </c>
    </row>
    <row r="64" spans="1:2" x14ac:dyDescent="0.15">
      <c r="A64">
        <v>108</v>
      </c>
      <c r="B64">
        <v>73</v>
      </c>
    </row>
    <row r="65" spans="1:2" x14ac:dyDescent="0.15">
      <c r="A65">
        <v>109</v>
      </c>
      <c r="B65">
        <v>74</v>
      </c>
    </row>
    <row r="66" spans="1:2" x14ac:dyDescent="0.15">
      <c r="A66">
        <v>110</v>
      </c>
      <c r="B66">
        <v>75</v>
      </c>
    </row>
    <row r="67" spans="1:2" x14ac:dyDescent="0.15">
      <c r="A67">
        <v>111</v>
      </c>
      <c r="B67">
        <v>76</v>
      </c>
    </row>
    <row r="68" spans="1:2" x14ac:dyDescent="0.15">
      <c r="A68">
        <v>112</v>
      </c>
      <c r="B68">
        <v>77</v>
      </c>
    </row>
    <row r="69" spans="1:2" x14ac:dyDescent="0.15">
      <c r="A69">
        <v>113</v>
      </c>
      <c r="B69">
        <v>78</v>
      </c>
    </row>
    <row r="70" spans="1:2" x14ac:dyDescent="0.15">
      <c r="A70">
        <v>114</v>
      </c>
      <c r="B70">
        <v>79</v>
      </c>
    </row>
    <row r="71" spans="1:2" x14ac:dyDescent="0.15">
      <c r="A71">
        <v>115</v>
      </c>
      <c r="B71">
        <v>80</v>
      </c>
    </row>
    <row r="72" spans="1:2" x14ac:dyDescent="0.15">
      <c r="A72">
        <v>116</v>
      </c>
      <c r="B72">
        <v>81</v>
      </c>
    </row>
    <row r="73" spans="1:2" x14ac:dyDescent="0.15">
      <c r="A73">
        <v>117</v>
      </c>
      <c r="B73">
        <v>82</v>
      </c>
    </row>
    <row r="74" spans="1:2" x14ac:dyDescent="0.15">
      <c r="A74">
        <v>118</v>
      </c>
      <c r="B74">
        <v>83</v>
      </c>
    </row>
    <row r="75" spans="1:2" x14ac:dyDescent="0.15">
      <c r="A75">
        <v>119</v>
      </c>
      <c r="B75">
        <v>84</v>
      </c>
    </row>
    <row r="76" spans="1:2" x14ac:dyDescent="0.15">
      <c r="A76">
        <v>120</v>
      </c>
      <c r="B76">
        <v>85</v>
      </c>
    </row>
    <row r="77" spans="1:2" x14ac:dyDescent="0.15">
      <c r="B77">
        <v>86</v>
      </c>
    </row>
    <row r="78" spans="1:2" x14ac:dyDescent="0.15">
      <c r="B78">
        <v>87</v>
      </c>
    </row>
    <row r="79" spans="1:2" x14ac:dyDescent="0.15">
      <c r="B79">
        <v>88</v>
      </c>
    </row>
    <row r="80" spans="1:2" x14ac:dyDescent="0.15">
      <c r="B80">
        <v>89</v>
      </c>
    </row>
    <row r="81" spans="2:2" x14ac:dyDescent="0.15">
      <c r="B81">
        <v>90</v>
      </c>
    </row>
    <row r="82" spans="2:2" x14ac:dyDescent="0.15">
      <c r="B82">
        <v>91</v>
      </c>
    </row>
    <row r="83" spans="2:2" x14ac:dyDescent="0.15">
      <c r="B83">
        <v>92</v>
      </c>
    </row>
    <row r="84" spans="2:2" x14ac:dyDescent="0.15">
      <c r="B84">
        <v>93</v>
      </c>
    </row>
    <row r="85" spans="2:2" x14ac:dyDescent="0.15">
      <c r="B85">
        <v>94</v>
      </c>
    </row>
    <row r="86" spans="2:2" x14ac:dyDescent="0.15">
      <c r="B86">
        <v>95</v>
      </c>
    </row>
    <row r="87" spans="2:2" x14ac:dyDescent="0.15">
      <c r="B87">
        <v>96</v>
      </c>
    </row>
    <row r="88" spans="2:2" x14ac:dyDescent="0.15">
      <c r="B88">
        <v>97</v>
      </c>
    </row>
    <row r="89" spans="2:2" x14ac:dyDescent="0.15">
      <c r="B89">
        <v>98</v>
      </c>
    </row>
    <row r="90" spans="2:2" x14ac:dyDescent="0.15">
      <c r="B90">
        <v>99</v>
      </c>
    </row>
    <row r="91" spans="2:2" x14ac:dyDescent="0.15">
      <c r="B91">
        <v>100</v>
      </c>
    </row>
    <row r="92" spans="2:2" x14ac:dyDescent="0.15">
      <c r="B92">
        <v>101</v>
      </c>
    </row>
    <row r="93" spans="2:2" x14ac:dyDescent="0.15">
      <c r="B93">
        <v>102</v>
      </c>
    </row>
    <row r="94" spans="2:2" x14ac:dyDescent="0.15">
      <c r="B94">
        <v>103</v>
      </c>
    </row>
    <row r="95" spans="2:2" x14ac:dyDescent="0.15">
      <c r="B95">
        <v>104</v>
      </c>
    </row>
    <row r="96" spans="2:2" x14ac:dyDescent="0.15">
      <c r="B96">
        <v>105</v>
      </c>
    </row>
    <row r="97" spans="2:2" x14ac:dyDescent="0.15">
      <c r="B97">
        <v>106</v>
      </c>
    </row>
    <row r="98" spans="2:2" x14ac:dyDescent="0.15">
      <c r="B98">
        <v>107</v>
      </c>
    </row>
    <row r="99" spans="2:2" x14ac:dyDescent="0.15">
      <c r="B99">
        <v>108</v>
      </c>
    </row>
    <row r="100" spans="2:2" x14ac:dyDescent="0.15">
      <c r="B100">
        <v>109</v>
      </c>
    </row>
    <row r="101" spans="2:2" x14ac:dyDescent="0.15">
      <c r="B101">
        <v>110</v>
      </c>
    </row>
    <row r="102" spans="2:2" x14ac:dyDescent="0.15">
      <c r="B102">
        <v>111</v>
      </c>
    </row>
    <row r="103" spans="2:2" x14ac:dyDescent="0.15">
      <c r="B103">
        <v>112</v>
      </c>
    </row>
    <row r="104" spans="2:2" x14ac:dyDescent="0.15">
      <c r="B104">
        <v>113</v>
      </c>
    </row>
    <row r="105" spans="2:2" x14ac:dyDescent="0.15">
      <c r="B105">
        <v>114</v>
      </c>
    </row>
    <row r="106" spans="2:2" x14ac:dyDescent="0.15">
      <c r="B106">
        <v>115</v>
      </c>
    </row>
    <row r="107" spans="2:2" x14ac:dyDescent="0.15">
      <c r="B107">
        <v>116</v>
      </c>
    </row>
    <row r="108" spans="2:2" x14ac:dyDescent="0.15">
      <c r="B108">
        <v>117</v>
      </c>
    </row>
    <row r="109" spans="2:2" x14ac:dyDescent="0.15">
      <c r="B109">
        <v>118</v>
      </c>
    </row>
    <row r="110" spans="2:2" x14ac:dyDescent="0.15">
      <c r="B110">
        <v>119</v>
      </c>
    </row>
    <row r="111" spans="2:2" x14ac:dyDescent="0.15">
      <c r="B111">
        <v>120</v>
      </c>
    </row>
    <row r="112" spans="2:2" x14ac:dyDescent="0.15">
      <c r="B112">
        <v>121</v>
      </c>
    </row>
    <row r="113" spans="2:2" x14ac:dyDescent="0.15">
      <c r="B113">
        <v>122</v>
      </c>
    </row>
    <row r="114" spans="2:2" x14ac:dyDescent="0.15">
      <c r="B114">
        <v>123</v>
      </c>
    </row>
    <row r="115" spans="2:2" x14ac:dyDescent="0.15">
      <c r="B115">
        <v>124</v>
      </c>
    </row>
    <row r="116" spans="2:2" x14ac:dyDescent="0.15">
      <c r="B116">
        <v>125</v>
      </c>
    </row>
    <row r="117" spans="2:2" x14ac:dyDescent="0.15">
      <c r="B117">
        <v>126</v>
      </c>
    </row>
    <row r="118" spans="2:2" x14ac:dyDescent="0.15">
      <c r="B118">
        <v>127</v>
      </c>
    </row>
    <row r="119" spans="2:2" x14ac:dyDescent="0.15">
      <c r="B119">
        <v>128</v>
      </c>
    </row>
    <row r="120" spans="2:2" x14ac:dyDescent="0.15">
      <c r="B120">
        <v>129</v>
      </c>
    </row>
    <row r="121" spans="2:2" x14ac:dyDescent="0.15">
      <c r="B121">
        <v>130</v>
      </c>
    </row>
    <row r="122" spans="2:2" x14ac:dyDescent="0.15">
      <c r="B122">
        <v>131</v>
      </c>
    </row>
    <row r="123" spans="2:2" x14ac:dyDescent="0.15">
      <c r="B123">
        <v>132</v>
      </c>
    </row>
    <row r="124" spans="2:2" x14ac:dyDescent="0.15">
      <c r="B124">
        <v>133</v>
      </c>
    </row>
    <row r="125" spans="2:2" x14ac:dyDescent="0.15">
      <c r="B125">
        <v>134</v>
      </c>
    </row>
    <row r="126" spans="2:2" x14ac:dyDescent="0.15">
      <c r="B126">
        <v>135</v>
      </c>
    </row>
    <row r="127" spans="2:2" x14ac:dyDescent="0.15">
      <c r="B127">
        <v>136</v>
      </c>
    </row>
    <row r="128" spans="2:2" x14ac:dyDescent="0.15">
      <c r="B128">
        <v>137</v>
      </c>
    </row>
    <row r="129" spans="2:2" x14ac:dyDescent="0.15">
      <c r="B129">
        <v>138</v>
      </c>
    </row>
    <row r="130" spans="2:2" x14ac:dyDescent="0.15">
      <c r="B130">
        <v>139</v>
      </c>
    </row>
    <row r="131" spans="2:2" x14ac:dyDescent="0.15">
      <c r="B131">
        <v>140</v>
      </c>
    </row>
  </sheetData>
  <phoneticPr fontId="3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9326-2142-CC4A-939B-6CC78F02092F}">
  <dimension ref="A1:A2"/>
  <sheetViews>
    <sheetView workbookViewId="0">
      <selection activeCell="B4" sqref="B4"/>
    </sheetView>
  </sheetViews>
  <sheetFormatPr baseColWidth="10" defaultColWidth="11.5" defaultRowHeight="13" x14ac:dyDescent="0.15"/>
  <sheetData>
    <row r="1" spans="1:1" x14ac:dyDescent="0.15">
      <c r="A1" t="s">
        <v>100</v>
      </c>
    </row>
    <row r="2" spans="1:1" x14ac:dyDescent="0.15">
      <c r="A2" t="s">
        <v>101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Patient_Info</vt:lpstr>
      <vt:lpstr>Vanco_InitialDose</vt:lpstr>
      <vt:lpstr>Vanco_DoseRevisionTrough</vt:lpstr>
      <vt:lpstr>Vanco_DoseRevisionTwoLevels</vt:lpstr>
      <vt:lpstr>Calculation_Details</vt:lpstr>
      <vt:lpstr>Pick</vt:lpstr>
      <vt:lpstr>Sheet2</vt:lpstr>
      <vt:lpstr>Sheet3</vt:lpstr>
      <vt:lpstr>Lkup</vt:lpstr>
      <vt:lpstr>YESNO</vt:lpstr>
    </vt:vector>
  </TitlesOfParts>
  <Company>UCSF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Conan MacDougall</dc:creator>
  <cp:lastModifiedBy>Mario E.</cp:lastModifiedBy>
  <dcterms:created xsi:type="dcterms:W3CDTF">2007-03-13T21:00:07Z</dcterms:created>
  <dcterms:modified xsi:type="dcterms:W3CDTF">2026-02-03T00:00:24Z</dcterms:modified>
</cp:coreProperties>
</file>